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od22wc_leeds_ac_uk/Documents/OCOM5101M Data Science/Assessments/"/>
    </mc:Choice>
  </mc:AlternateContent>
  <xr:revisionPtr revIDLastSave="106" documentId="8_{C044F1AF-9BD5-4777-93AF-C1C474591487}" xr6:coauthVersionLast="47" xr6:coauthVersionMax="47" xr10:uidLastSave="{4D1C62B4-141F-41D0-B4A8-075B365A48A0}"/>
  <bookViews>
    <workbookView xWindow="3540" yWindow="-21720" windowWidth="38640" windowHeight="21240" xr2:uid="{152DACCA-8AF4-49FB-B879-2C8AFA98A5FA}"/>
  </bookViews>
  <sheets>
    <sheet name="LogReg Schematic" sheetId="1" r:id="rId1"/>
    <sheet name="NN Schemati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" i="3" l="1"/>
  <c r="U7" i="3"/>
  <c r="W12" i="3"/>
  <c r="W7" i="3"/>
  <c r="X3" i="3"/>
  <c r="X2" i="3"/>
  <c r="Y2" i="3" s="1"/>
  <c r="Z2" i="3" s="1"/>
  <c r="H12" i="3"/>
  <c r="H7" i="3"/>
  <c r="O12" i="3"/>
  <c r="J12" i="3"/>
  <c r="H11" i="3"/>
  <c r="B8" i="3"/>
  <c r="B9" i="3" s="1"/>
  <c r="W9" i="3" s="1"/>
  <c r="O7" i="3"/>
  <c r="J7" i="3"/>
  <c r="K3" i="3"/>
  <c r="K2" i="3"/>
  <c r="J12" i="1"/>
  <c r="O12" i="1"/>
  <c r="O7" i="1"/>
  <c r="J7" i="1"/>
  <c r="H11" i="1"/>
  <c r="H12" i="1"/>
  <c r="H7" i="1"/>
  <c r="B8" i="1"/>
  <c r="J8" i="1" s="1"/>
  <c r="K2" i="1"/>
  <c r="L2" i="1" s="1"/>
  <c r="M2" i="1" s="1"/>
  <c r="K3" i="1"/>
  <c r="L3" i="1" s="1"/>
  <c r="M3" i="1" s="1"/>
  <c r="X9" i="3" l="1"/>
  <c r="U9" i="3"/>
  <c r="H9" i="3"/>
  <c r="W8" i="3"/>
  <c r="H8" i="3"/>
  <c r="U8" i="3"/>
  <c r="X8" i="3"/>
  <c r="X12" i="3"/>
  <c r="Y3" i="3"/>
  <c r="X7" i="3"/>
  <c r="K9" i="3"/>
  <c r="K8" i="3"/>
  <c r="L3" i="3"/>
  <c r="B10" i="3"/>
  <c r="X10" i="3" s="1"/>
  <c r="O9" i="3"/>
  <c r="J9" i="3"/>
  <c r="K7" i="3"/>
  <c r="K12" i="3"/>
  <c r="L2" i="3"/>
  <c r="M2" i="3" s="1"/>
  <c r="M3" i="3"/>
  <c r="J8" i="3"/>
  <c r="O8" i="3"/>
  <c r="M8" i="1"/>
  <c r="H8" i="1"/>
  <c r="M7" i="1"/>
  <c r="M12" i="1"/>
  <c r="L8" i="1"/>
  <c r="B9" i="1"/>
  <c r="L9" i="1" s="1"/>
  <c r="L7" i="1"/>
  <c r="L12" i="1"/>
  <c r="K8" i="1"/>
  <c r="K7" i="1"/>
  <c r="K12" i="1"/>
  <c r="O8" i="1"/>
  <c r="L7" i="3" l="1"/>
  <c r="L8" i="3"/>
  <c r="L12" i="3"/>
  <c r="H10" i="3"/>
  <c r="W10" i="3"/>
  <c r="U10" i="3"/>
  <c r="Y10" i="3"/>
  <c r="Y8" i="3"/>
  <c r="Y12" i="3"/>
  <c r="Y9" i="3"/>
  <c r="Y7" i="3"/>
  <c r="Z3" i="3"/>
  <c r="AB3" i="3" s="1"/>
  <c r="M10" i="3"/>
  <c r="M12" i="3"/>
  <c r="M7" i="3"/>
  <c r="M8" i="3"/>
  <c r="M9" i="3"/>
  <c r="O10" i="3"/>
  <c r="J10" i="3"/>
  <c r="L10" i="3"/>
  <c r="K10" i="3"/>
  <c r="L9" i="3"/>
  <c r="H9" i="1"/>
  <c r="B10" i="1"/>
  <c r="J9" i="1"/>
  <c r="O9" i="1"/>
  <c r="K9" i="1"/>
  <c r="M9" i="1"/>
  <c r="AB12" i="3" l="1"/>
  <c r="AB10" i="3"/>
  <c r="AB9" i="3"/>
  <c r="AB7" i="3"/>
  <c r="AB8" i="3"/>
  <c r="Z10" i="3"/>
  <c r="Z8" i="3"/>
  <c r="Z12" i="3"/>
  <c r="Z9" i="3"/>
  <c r="Z7" i="3"/>
  <c r="J10" i="1"/>
  <c r="O10" i="1"/>
  <c r="L10" i="1"/>
  <c r="M10" i="1"/>
  <c r="K10" i="1"/>
  <c r="H10" i="1"/>
</calcChain>
</file>

<file path=xl/sharedStrings.xml><?xml version="1.0" encoding="utf-8"?>
<sst xmlns="http://schemas.openxmlformats.org/spreadsheetml/2006/main" count="92" uniqueCount="24">
  <si>
    <t>x</t>
  </si>
  <si>
    <t>..</t>
  </si>
  <si>
    <t>n</t>
  </si>
  <si>
    <t>…</t>
  </si>
  <si>
    <t>Features</t>
  </si>
  <si>
    <t>Datapoints</t>
  </si>
  <si>
    <t>Weights</t>
  </si>
  <si>
    <t>w1</t>
  </si>
  <si>
    <t>w2</t>
  </si>
  <si>
    <t>w3</t>
  </si>
  <si>
    <t>w4</t>
  </si>
  <si>
    <t>wn</t>
  </si>
  <si>
    <t>y_pred</t>
  </si>
  <si>
    <t>y1</t>
  </si>
  <si>
    <t>y2</t>
  </si>
  <si>
    <t>y3</t>
  </si>
  <si>
    <t>y4</t>
  </si>
  <si>
    <t>yn</t>
  </si>
  <si>
    <t>Log Activation Function</t>
  </si>
  <si>
    <r>
      <rPr>
        <b/>
        <sz val="9"/>
        <color theme="1"/>
        <rFont val="Arial"/>
        <family val="2"/>
      </rPr>
      <t>y</t>
    </r>
    <r>
      <rPr>
        <sz val="9"/>
        <color theme="1"/>
        <rFont val="Arial"/>
        <family val="2"/>
      </rPr>
      <t xml:space="preserve">  = g(w</t>
    </r>
    <r>
      <rPr>
        <vertAlign val="superscript"/>
        <sz val="9"/>
        <color theme="1"/>
        <rFont val="Arial"/>
        <family val="2"/>
      </rPr>
      <t>T</t>
    </r>
    <r>
      <rPr>
        <sz val="9"/>
        <color theme="1"/>
        <rFont val="Arial"/>
        <family val="2"/>
      </rPr>
      <t>x)</t>
    </r>
  </si>
  <si>
    <t>Hidden Layer 1</t>
  </si>
  <si>
    <t>Hidden Layer 2</t>
  </si>
  <si>
    <t>ϕ</t>
  </si>
  <si>
    <t>Transformed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</si>
</sst>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b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dotted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theme="0" tint="-0.24994659260841701"/>
      </bottom>
      <diagonal/>
    </border>
    <border>
      <left style="thin">
        <color indexed="64"/>
      </left>
      <right style="dotted">
        <color theme="0" tint="-0.24994659260841701"/>
      </right>
      <top style="medium">
        <color indexed="64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medium">
        <color indexed="64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medium">
        <color indexed="64"/>
      </right>
      <top style="medium">
        <color indexed="64"/>
      </top>
      <bottom style="dotted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medium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dotted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dotted">
        <color theme="0" tint="-0.24994659260841701"/>
      </right>
      <top style="dotted">
        <color theme="0" tint="-0.24994659260841701"/>
      </top>
      <bottom style="medium">
        <color indexed="64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medium">
        <color indexed="64"/>
      </bottom>
      <diagonal/>
    </border>
    <border>
      <left style="dotted">
        <color theme="0" tint="-0.24994659260841701"/>
      </left>
      <right style="medium">
        <color indexed="64"/>
      </right>
      <top style="dotted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3" fillId="0" borderId="17" xfId="0" applyFont="1" applyBorder="1" applyAlignment="1">
      <alignment horizontal="centerContinuous" vertical="center"/>
    </xf>
    <xf numFmtId="0" fontId="2" fillId="0" borderId="18" xfId="0" applyFont="1" applyBorder="1" applyAlignment="1">
      <alignment horizontal="centerContinuous" vertical="center"/>
    </xf>
    <xf numFmtId="0" fontId="2" fillId="0" borderId="19" xfId="0" applyFont="1" applyBorder="1" applyAlignment="1">
      <alignment horizontal="centerContinuous" vertic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154556</xdr:colOff>
      <xdr:row>5</xdr:row>
      <xdr:rowOff>125802</xdr:rowOff>
    </xdr:from>
    <xdr:to>
      <xdr:col>15</xdr:col>
      <xdr:colOff>35943</xdr:colOff>
      <xdr:row>7</xdr:row>
      <xdr:rowOff>35944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5DF22B-3727-BFA4-28C0-5FBAF3E703B8}"/>
            </a:ext>
          </a:extLst>
        </xdr:cNvPr>
        <xdr:cNvSpPr/>
      </xdr:nvSpPr>
      <xdr:spPr>
        <a:xfrm>
          <a:off x="1232858" y="859047"/>
          <a:ext cx="2325538" cy="204878"/>
        </a:xfrm>
        <a:prstGeom prst="rect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291141</xdr:colOff>
      <xdr:row>5</xdr:row>
      <xdr:rowOff>126640</xdr:rowOff>
    </xdr:from>
    <xdr:to>
      <xdr:col>17</xdr:col>
      <xdr:colOff>31093</xdr:colOff>
      <xdr:row>12</xdr:row>
      <xdr:rowOff>25579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FA79FCD-E70B-4E1E-B3BC-E917998F38AC}"/>
            </a:ext>
          </a:extLst>
        </xdr:cNvPr>
        <xdr:cNvSpPr/>
      </xdr:nvSpPr>
      <xdr:spPr>
        <a:xfrm>
          <a:off x="3813594" y="859885"/>
          <a:ext cx="386933" cy="919732"/>
        </a:xfrm>
        <a:prstGeom prst="rect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324748</xdr:colOff>
      <xdr:row>6</xdr:row>
      <xdr:rowOff>103814</xdr:rowOff>
    </xdr:from>
    <xdr:to>
      <xdr:col>18</xdr:col>
      <xdr:colOff>1047923</xdr:colOff>
      <xdr:row>11</xdr:row>
      <xdr:rowOff>95422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2B51B8C-F369-8684-153F-B742E00AB130}"/>
            </a:ext>
          </a:extLst>
        </xdr:cNvPr>
        <xdr:cNvSpPr/>
      </xdr:nvSpPr>
      <xdr:spPr>
        <a:xfrm>
          <a:off x="4817673" y="988022"/>
          <a:ext cx="723175" cy="710475"/>
        </a:xfrm>
        <a:prstGeom prst="ellipse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146949</xdr:colOff>
      <xdr:row>5</xdr:row>
      <xdr:rowOff>123884</xdr:rowOff>
    </xdr:from>
    <xdr:to>
      <xdr:col>21</xdr:col>
      <xdr:colOff>27500</xdr:colOff>
      <xdr:row>7</xdr:row>
      <xdr:rowOff>28335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0FE5E6C-8A12-4DA8-80AA-3A0BFDF7A50E}"/>
            </a:ext>
          </a:extLst>
        </xdr:cNvPr>
        <xdr:cNvSpPr/>
      </xdr:nvSpPr>
      <xdr:spPr>
        <a:xfrm>
          <a:off x="6020100" y="857129"/>
          <a:ext cx="383758" cy="199187"/>
        </a:xfrm>
        <a:prstGeom prst="rect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35943</xdr:colOff>
      <xdr:row>6</xdr:row>
      <xdr:rowOff>75691</xdr:rowOff>
    </xdr:from>
    <xdr:to>
      <xdr:col>15</xdr:col>
      <xdr:colOff>294316</xdr:colOff>
      <xdr:row>9</xdr:row>
      <xdr:rowOff>4223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7AD1F5F-CA89-37C8-D6F0-13CF886B4CBF}"/>
            </a:ext>
          </a:extLst>
        </xdr:cNvPr>
        <xdr:cNvCxnSpPr>
          <a:stCxn id="2" idx="3"/>
          <a:endCxn id="3" idx="1"/>
        </xdr:cNvCxnSpPr>
      </xdr:nvCxnSpPr>
      <xdr:spPr>
        <a:xfrm>
          <a:off x="3558396" y="959899"/>
          <a:ext cx="258373" cy="359852"/>
        </a:xfrm>
        <a:prstGeom prst="line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15</xdr:col>
      <xdr:colOff>86265</xdr:colOff>
      <xdr:row>7</xdr:row>
      <xdr:rowOff>18389</xdr:rowOff>
    </xdr:from>
    <xdr:to>
      <xdr:col>15</xdr:col>
      <xdr:colOff>232794</xdr:colOff>
      <xdr:row>8</xdr:row>
      <xdr:rowOff>35523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6A04844-4615-4D0F-84B6-CA9B6159E5AC}"/>
            </a:ext>
          </a:extLst>
        </xdr:cNvPr>
        <xdr:cNvSpPr/>
      </xdr:nvSpPr>
      <xdr:spPr>
        <a:xfrm>
          <a:off x="3608718" y="1046370"/>
          <a:ext cx="146529" cy="160908"/>
        </a:xfrm>
        <a:prstGeom prst="ellipse">
          <a:avLst/>
        </a:prstGeom>
        <a:solidFill>
          <a:srgbClr val="FFC000"/>
        </a:solidFill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GB" sz="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17</xdr:col>
      <xdr:colOff>27918</xdr:colOff>
      <xdr:row>9</xdr:row>
      <xdr:rowOff>4223</xdr:rowOff>
    </xdr:from>
    <xdr:to>
      <xdr:col>18</xdr:col>
      <xdr:colOff>324748</xdr:colOff>
      <xdr:row>9</xdr:row>
      <xdr:rowOff>29319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2E9EE93-3263-4DE3-A83C-502A7C3D59F3}"/>
            </a:ext>
          </a:extLst>
        </xdr:cNvPr>
        <xdr:cNvCxnSpPr>
          <a:stCxn id="3" idx="3"/>
          <a:endCxn id="4" idx="2"/>
        </xdr:cNvCxnSpPr>
      </xdr:nvCxnSpPr>
      <xdr:spPr>
        <a:xfrm>
          <a:off x="4197352" y="1319751"/>
          <a:ext cx="620321" cy="25096"/>
        </a:xfrm>
        <a:prstGeom prst="line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  <a:tailEnd type="stealt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18</xdr:col>
      <xdr:colOff>1047923</xdr:colOff>
      <xdr:row>6</xdr:row>
      <xdr:rowOff>72515</xdr:rowOff>
    </xdr:from>
    <xdr:to>
      <xdr:col>19</xdr:col>
      <xdr:colOff>143774</xdr:colOff>
      <xdr:row>9</xdr:row>
      <xdr:rowOff>29319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BB5CC50-6B59-4D6D-9EE4-C12749D91B81}"/>
            </a:ext>
          </a:extLst>
        </xdr:cNvPr>
        <xdr:cNvCxnSpPr>
          <a:stCxn id="4" idx="6"/>
          <a:endCxn id="5" idx="1"/>
        </xdr:cNvCxnSpPr>
      </xdr:nvCxnSpPr>
      <xdr:spPr>
        <a:xfrm flipV="1">
          <a:off x="5540848" y="956723"/>
          <a:ext cx="476077" cy="388124"/>
        </a:xfrm>
        <a:prstGeom prst="line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  <a:tailEnd type="stealt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18</xdr:col>
      <xdr:colOff>1136650</xdr:colOff>
      <xdr:row>7</xdr:row>
      <xdr:rowOff>7187</xdr:rowOff>
    </xdr:from>
    <xdr:to>
      <xdr:col>19</xdr:col>
      <xdr:colOff>17971</xdr:colOff>
      <xdr:row>8</xdr:row>
      <xdr:rowOff>137004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A413FBC3-7DF9-4881-85D9-3DAE1DFE327E}"/>
            </a:ext>
          </a:extLst>
        </xdr:cNvPr>
        <xdr:cNvSpPr/>
      </xdr:nvSpPr>
      <xdr:spPr>
        <a:xfrm>
          <a:off x="5629575" y="1035168"/>
          <a:ext cx="261547" cy="273591"/>
        </a:xfrm>
        <a:prstGeom prst="ellipse">
          <a:avLst/>
        </a:prstGeom>
        <a:solidFill>
          <a:srgbClr val="FFC000"/>
        </a:solidFill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en-GB" sz="7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{1,0}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142694</xdr:colOff>
      <xdr:row>5</xdr:row>
      <xdr:rowOff>125802</xdr:rowOff>
    </xdr:from>
    <xdr:to>
      <xdr:col>15</xdr:col>
      <xdr:colOff>27256</xdr:colOff>
      <xdr:row>7</xdr:row>
      <xdr:rowOff>29594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B9CA42E-1442-455F-A8E8-5BCFC2D9EAEB}"/>
            </a:ext>
          </a:extLst>
        </xdr:cNvPr>
        <xdr:cNvSpPr/>
      </xdr:nvSpPr>
      <xdr:spPr>
        <a:xfrm>
          <a:off x="1220996" y="859047"/>
          <a:ext cx="2328713" cy="198528"/>
        </a:xfrm>
        <a:prstGeom prst="rect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167862</xdr:colOff>
      <xdr:row>5</xdr:row>
      <xdr:rowOff>125802</xdr:rowOff>
    </xdr:from>
    <xdr:to>
      <xdr:col>28</xdr:col>
      <xdr:colOff>15009</xdr:colOff>
      <xdr:row>7</xdr:row>
      <xdr:rowOff>29594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EA478C-B2C7-4961-A2A3-503A516B9860}"/>
            </a:ext>
          </a:extLst>
        </xdr:cNvPr>
        <xdr:cNvSpPr/>
      </xdr:nvSpPr>
      <xdr:spPr>
        <a:xfrm>
          <a:off x="4843276" y="866031"/>
          <a:ext cx="2073276" cy="197706"/>
        </a:xfrm>
        <a:prstGeom prst="rect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28</xdr:col>
      <xdr:colOff>167533</xdr:colOff>
      <xdr:row>5</xdr:row>
      <xdr:rowOff>126640</xdr:rowOff>
    </xdr:from>
    <xdr:to>
      <xdr:col>30</xdr:col>
      <xdr:colOff>7971</xdr:colOff>
      <xdr:row>12</xdr:row>
      <xdr:rowOff>25579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A36F3B2-4B12-4B6F-B4EF-9D45E1717136}"/>
            </a:ext>
          </a:extLst>
        </xdr:cNvPr>
        <xdr:cNvSpPr/>
      </xdr:nvSpPr>
      <xdr:spPr>
        <a:xfrm>
          <a:off x="7069076" y="866869"/>
          <a:ext cx="526238" cy="1101810"/>
        </a:xfrm>
        <a:prstGeom prst="rect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324748</xdr:colOff>
      <xdr:row>6</xdr:row>
      <xdr:rowOff>103814</xdr:rowOff>
    </xdr:from>
    <xdr:to>
      <xdr:col>31</xdr:col>
      <xdr:colOff>1047923</xdr:colOff>
      <xdr:row>11</xdr:row>
      <xdr:rowOff>95422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2876166-9390-42F8-9BDC-0DB2D4E93E0D}"/>
            </a:ext>
          </a:extLst>
        </xdr:cNvPr>
        <xdr:cNvSpPr/>
      </xdr:nvSpPr>
      <xdr:spPr>
        <a:xfrm>
          <a:off x="5011048" y="992814"/>
          <a:ext cx="723175" cy="702808"/>
        </a:xfrm>
        <a:prstGeom prst="ellipse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146949</xdr:colOff>
      <xdr:row>5</xdr:row>
      <xdr:rowOff>123884</xdr:rowOff>
    </xdr:from>
    <xdr:to>
      <xdr:col>34</xdr:col>
      <xdr:colOff>27500</xdr:colOff>
      <xdr:row>7</xdr:row>
      <xdr:rowOff>28335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B2A9E3D-D498-4D82-A255-74610DC48151}"/>
            </a:ext>
          </a:extLst>
        </xdr:cNvPr>
        <xdr:cNvSpPr/>
      </xdr:nvSpPr>
      <xdr:spPr>
        <a:xfrm>
          <a:off x="6211199" y="854134"/>
          <a:ext cx="515551" cy="206076"/>
        </a:xfrm>
        <a:prstGeom prst="rect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30</xdr:col>
      <xdr:colOff>11146</xdr:colOff>
      <xdr:row>9</xdr:row>
      <xdr:rowOff>24403</xdr:rowOff>
    </xdr:from>
    <xdr:to>
      <xdr:col>31</xdr:col>
      <xdr:colOff>324748</xdr:colOff>
      <xdr:row>9</xdr:row>
      <xdr:rowOff>30449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0B1EF69-DFA9-4ECB-9BFA-A2E282F28337}"/>
            </a:ext>
          </a:extLst>
        </xdr:cNvPr>
        <xdr:cNvCxnSpPr>
          <a:stCxn id="13" idx="3"/>
          <a:endCxn id="14" idx="2"/>
        </xdr:cNvCxnSpPr>
      </xdr:nvCxnSpPr>
      <xdr:spPr>
        <a:xfrm>
          <a:off x="7598489" y="1417774"/>
          <a:ext cx="493216" cy="6046"/>
        </a:xfrm>
        <a:prstGeom prst="line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  <a:tailEnd type="stealt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31</xdr:col>
      <xdr:colOff>1047923</xdr:colOff>
      <xdr:row>6</xdr:row>
      <xdr:rowOff>72515</xdr:rowOff>
    </xdr:from>
    <xdr:to>
      <xdr:col>32</xdr:col>
      <xdr:colOff>143774</xdr:colOff>
      <xdr:row>9</xdr:row>
      <xdr:rowOff>29319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3DBDE3B-7EE7-401F-B2E1-3BE31BDDEB23}"/>
            </a:ext>
          </a:extLst>
        </xdr:cNvPr>
        <xdr:cNvCxnSpPr>
          <a:stCxn id="14" idx="6"/>
          <a:endCxn id="15" idx="1"/>
        </xdr:cNvCxnSpPr>
      </xdr:nvCxnSpPr>
      <xdr:spPr>
        <a:xfrm flipV="1">
          <a:off x="5734223" y="955165"/>
          <a:ext cx="473801" cy="385429"/>
        </a:xfrm>
        <a:prstGeom prst="line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  <a:tailEnd type="stealt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31</xdr:col>
      <xdr:colOff>1136650</xdr:colOff>
      <xdr:row>7</xdr:row>
      <xdr:rowOff>7187</xdr:rowOff>
    </xdr:from>
    <xdr:to>
      <xdr:col>32</xdr:col>
      <xdr:colOff>17971</xdr:colOff>
      <xdr:row>8</xdr:row>
      <xdr:rowOff>137004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2A2ECB-ABA5-4570-B11C-57864BAC1754}"/>
            </a:ext>
          </a:extLst>
        </xdr:cNvPr>
        <xdr:cNvSpPr/>
      </xdr:nvSpPr>
      <xdr:spPr>
        <a:xfrm>
          <a:off x="5819775" y="1039062"/>
          <a:ext cx="265621" cy="272692"/>
        </a:xfrm>
        <a:prstGeom prst="ellipse">
          <a:avLst/>
        </a:prstGeom>
        <a:solidFill>
          <a:srgbClr val="FFC000"/>
        </a:solidFill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en-GB" sz="7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{1,0}</a:t>
          </a:r>
        </a:p>
      </xdr:txBody>
    </xdr:sp>
    <xdr:clientData/>
  </xdr:twoCellAnchor>
  <xdr:twoCellAnchor>
    <xdr:from>
      <xdr:col>15</xdr:col>
      <xdr:colOff>145595</xdr:colOff>
      <xdr:row>5</xdr:row>
      <xdr:rowOff>121085</xdr:rowOff>
    </xdr:from>
    <xdr:to>
      <xdr:col>17</xdr:col>
      <xdr:colOff>30390</xdr:colOff>
      <xdr:row>12</xdr:row>
      <xdr:rowOff>27214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631255D-846F-4E71-BEAF-678805E9AAFC}"/>
            </a:ext>
          </a:extLst>
        </xdr:cNvPr>
        <xdr:cNvSpPr/>
      </xdr:nvSpPr>
      <xdr:spPr>
        <a:xfrm>
          <a:off x="3449409" y="861314"/>
          <a:ext cx="570595" cy="1109000"/>
        </a:xfrm>
        <a:prstGeom prst="rect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147863</xdr:colOff>
      <xdr:row>5</xdr:row>
      <xdr:rowOff>118817</xdr:rowOff>
    </xdr:from>
    <xdr:to>
      <xdr:col>19</xdr:col>
      <xdr:colOff>32658</xdr:colOff>
      <xdr:row>12</xdr:row>
      <xdr:rowOff>24946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ADA0C5DA-3513-4B3E-ABC0-6E5F4CF26706}"/>
            </a:ext>
          </a:extLst>
        </xdr:cNvPr>
        <xdr:cNvSpPr/>
      </xdr:nvSpPr>
      <xdr:spPr>
        <a:xfrm>
          <a:off x="4137477" y="859046"/>
          <a:ext cx="570595" cy="1109000"/>
        </a:xfrm>
        <a:prstGeom prst="rect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27256</xdr:colOff>
      <xdr:row>6</xdr:row>
      <xdr:rowOff>65905</xdr:rowOff>
    </xdr:from>
    <xdr:to>
      <xdr:col>15</xdr:col>
      <xdr:colOff>145595</xdr:colOff>
      <xdr:row>9</xdr:row>
      <xdr:rowOff>28793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4BC5B7A-BFD1-4264-833F-6C4D685C7E9A}"/>
            </a:ext>
          </a:extLst>
        </xdr:cNvPr>
        <xdr:cNvCxnSpPr>
          <a:stCxn id="2" idx="3"/>
          <a:endCxn id="20" idx="1"/>
        </xdr:cNvCxnSpPr>
      </xdr:nvCxnSpPr>
      <xdr:spPr>
        <a:xfrm>
          <a:off x="3331070" y="958534"/>
          <a:ext cx="118339" cy="463630"/>
        </a:xfrm>
        <a:prstGeom prst="line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  <a:tailEnd type="stealt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17</xdr:col>
      <xdr:colOff>27215</xdr:colOff>
      <xdr:row>9</xdr:row>
      <xdr:rowOff>23350</xdr:rowOff>
    </xdr:from>
    <xdr:to>
      <xdr:col>17</xdr:col>
      <xdr:colOff>144688</xdr:colOff>
      <xdr:row>9</xdr:row>
      <xdr:rowOff>25618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32BE2926-EA7A-4612-A18A-775FE2EED276}"/>
            </a:ext>
          </a:extLst>
        </xdr:cNvPr>
        <xdr:cNvCxnSpPr>
          <a:stCxn id="20" idx="3"/>
          <a:endCxn id="21" idx="1"/>
        </xdr:cNvCxnSpPr>
      </xdr:nvCxnSpPr>
      <xdr:spPr>
        <a:xfrm flipV="1">
          <a:off x="4016829" y="1416721"/>
          <a:ext cx="117473" cy="2268"/>
        </a:xfrm>
        <a:prstGeom prst="line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  <a:tailEnd type="stealt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19</xdr:col>
      <xdr:colOff>29483</xdr:colOff>
      <xdr:row>6</xdr:row>
      <xdr:rowOff>69080</xdr:rowOff>
    </xdr:from>
    <xdr:to>
      <xdr:col>19</xdr:col>
      <xdr:colOff>164687</xdr:colOff>
      <xdr:row>9</xdr:row>
      <xdr:rowOff>23350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16169A4-08A4-412C-BFDA-5873FB3578BF}"/>
            </a:ext>
          </a:extLst>
        </xdr:cNvPr>
        <xdr:cNvCxnSpPr>
          <a:stCxn id="21" idx="3"/>
          <a:endCxn id="12" idx="1"/>
        </xdr:cNvCxnSpPr>
      </xdr:nvCxnSpPr>
      <xdr:spPr>
        <a:xfrm flipV="1">
          <a:off x="4704897" y="961709"/>
          <a:ext cx="135204" cy="455012"/>
        </a:xfrm>
        <a:prstGeom prst="line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  <a:tailEnd type="stealt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28</xdr:col>
      <xdr:colOff>11834</xdr:colOff>
      <xdr:row>6</xdr:row>
      <xdr:rowOff>69080</xdr:rowOff>
    </xdr:from>
    <xdr:to>
      <xdr:col>29</xdr:col>
      <xdr:colOff>70757</xdr:colOff>
      <xdr:row>8</xdr:row>
      <xdr:rowOff>114300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B5A424D9-7FA2-4D3D-B4B4-7C89F1A6504D}"/>
            </a:ext>
          </a:extLst>
        </xdr:cNvPr>
        <xdr:cNvCxnSpPr>
          <a:stCxn id="12" idx="3"/>
        </xdr:cNvCxnSpPr>
      </xdr:nvCxnSpPr>
      <xdr:spPr>
        <a:xfrm>
          <a:off x="6913377" y="961709"/>
          <a:ext cx="238537" cy="366348"/>
        </a:xfrm>
        <a:prstGeom prst="line">
          <a:avLst/>
        </a:prstGeom>
        <a:solidFill>
          <a:srgbClr val="FFF2CC">
            <a:alpha val="20000"/>
          </a:srgbClr>
        </a:solidFill>
        <a:ln w="19050">
          <a:solidFill>
            <a:srgbClr val="FFC000"/>
          </a:solidFill>
          <a:tailEnd type="stealt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6187-520F-4576-94EB-C2242D580465}">
  <dimension ref="B2:U12"/>
  <sheetViews>
    <sheetView showGridLines="0" tabSelected="1" zoomScale="265" zoomScaleNormal="265" workbookViewId="0">
      <selection activeCell="E1" sqref="E1"/>
    </sheetView>
  </sheetViews>
  <sheetFormatPr defaultRowHeight="11.5" x14ac:dyDescent="0.35"/>
  <cols>
    <col min="1" max="7" width="2.6328125" style="1" customWidth="1"/>
    <col min="8" max="8" width="4.6328125" style="1" customWidth="1"/>
    <col min="9" max="9" width="4.6328125" style="2" customWidth="1"/>
    <col min="10" max="16" width="4.6328125" style="1" customWidth="1"/>
    <col min="17" max="17" width="7.26953125" style="1" bestFit="1" customWidth="1"/>
    <col min="18" max="18" width="4.6328125" style="1" customWidth="1"/>
    <col min="19" max="19" width="19.81640625" style="1" bestFit="1" customWidth="1"/>
    <col min="20" max="20" width="2.6328125" style="1" customWidth="1"/>
    <col min="21" max="21" width="6.36328125" style="1" bestFit="1" customWidth="1"/>
    <col min="22" max="16384" width="8.7265625" style="1"/>
  </cols>
  <sheetData>
    <row r="2" spans="2:21" x14ac:dyDescent="0.35">
      <c r="J2" s="1">
        <v>1</v>
      </c>
      <c r="K2" s="1">
        <f>J2+1</f>
        <v>2</v>
      </c>
      <c r="L2" s="1">
        <f t="shared" ref="L2:M2" si="0">K2+1</f>
        <v>3</v>
      </c>
      <c r="M2" s="1">
        <f t="shared" si="0"/>
        <v>4</v>
      </c>
      <c r="N2" s="1" t="s">
        <v>1</v>
      </c>
      <c r="O2" s="1" t="s">
        <v>2</v>
      </c>
    </row>
    <row r="3" spans="2:21" x14ac:dyDescent="0.35">
      <c r="J3" s="2" t="s">
        <v>0</v>
      </c>
      <c r="K3" s="1" t="str">
        <f>J3</f>
        <v>x</v>
      </c>
      <c r="L3" s="1" t="str">
        <f t="shared" ref="L3:M3" si="1">K3</f>
        <v>x</v>
      </c>
      <c r="M3" s="1" t="str">
        <f t="shared" si="1"/>
        <v>x</v>
      </c>
      <c r="N3" s="1" t="s">
        <v>1</v>
      </c>
      <c r="O3" s="1" t="s">
        <v>0</v>
      </c>
    </row>
    <row r="4" spans="2:21" ht="12" thickBot="1" x14ac:dyDescent="0.4"/>
    <row r="5" spans="2:21" ht="12" thickBot="1" x14ac:dyDescent="0.4">
      <c r="I5" s="18" t="s">
        <v>4</v>
      </c>
      <c r="J5" s="18"/>
      <c r="K5" s="19"/>
      <c r="L5" s="19"/>
      <c r="M5" s="19"/>
      <c r="N5" s="19"/>
      <c r="O5" s="20"/>
      <c r="Q5" s="27" t="s">
        <v>6</v>
      </c>
      <c r="S5" s="27" t="s">
        <v>18</v>
      </c>
      <c r="U5" s="27" t="s">
        <v>12</v>
      </c>
    </row>
    <row r="6" spans="2:21" ht="12" thickBot="1" x14ac:dyDescent="0.4">
      <c r="J6" s="16"/>
      <c r="K6" s="17"/>
      <c r="L6" s="17"/>
      <c r="M6" s="17"/>
      <c r="N6" s="17"/>
      <c r="O6" s="17"/>
    </row>
    <row r="7" spans="2:21" x14ac:dyDescent="0.35">
      <c r="B7" s="1">
        <v>1</v>
      </c>
      <c r="F7" s="21" t="s">
        <v>5</v>
      </c>
      <c r="H7" s="5" t="str">
        <f>"x"&amp;B7</f>
        <v>x1</v>
      </c>
      <c r="I7" s="32">
        <v>1</v>
      </c>
      <c r="J7" s="6" t="str">
        <f>J$3&amp;J$2&amp;","&amp;$B7</f>
        <v>x1,1</v>
      </c>
      <c r="K7" s="7" t="str">
        <f t="shared" ref="K7:O12" si="2">K$3&amp;K$2&amp;","&amp;$B7</f>
        <v>x2,1</v>
      </c>
      <c r="L7" s="7" t="str">
        <f t="shared" si="2"/>
        <v>x3,1</v>
      </c>
      <c r="M7" s="7" t="str">
        <f t="shared" si="2"/>
        <v>x4,1</v>
      </c>
      <c r="N7" s="7" t="s">
        <v>3</v>
      </c>
      <c r="O7" s="8" t="str">
        <f t="shared" si="2"/>
        <v>xn,1</v>
      </c>
      <c r="Q7" s="24" t="s">
        <v>7</v>
      </c>
      <c r="U7" s="24" t="s">
        <v>13</v>
      </c>
    </row>
    <row r="8" spans="2:21" x14ac:dyDescent="0.35">
      <c r="B8" s="1">
        <f>B7+1</f>
        <v>2</v>
      </c>
      <c r="F8" s="22"/>
      <c r="H8" s="9" t="str">
        <f>"x"&amp;B8</f>
        <v>x2</v>
      </c>
      <c r="I8" s="33">
        <v>1</v>
      </c>
      <c r="J8" s="4" t="str">
        <f t="shared" ref="J8:J12" si="3">J$3&amp;J$2&amp;","&amp;$B8</f>
        <v>x1,2</v>
      </c>
      <c r="K8" s="3" t="str">
        <f t="shared" si="2"/>
        <v>x2,2</v>
      </c>
      <c r="L8" s="3" t="str">
        <f t="shared" si="2"/>
        <v>x3,2</v>
      </c>
      <c r="M8" s="3" t="str">
        <f t="shared" si="2"/>
        <v>x4,2</v>
      </c>
      <c r="N8" s="3" t="s">
        <v>3</v>
      </c>
      <c r="O8" s="10" t="str">
        <f t="shared" si="2"/>
        <v>xn,2</v>
      </c>
      <c r="Q8" s="25" t="s">
        <v>8</v>
      </c>
      <c r="S8" s="15" t="s">
        <v>19</v>
      </c>
      <c r="U8" s="25" t="s">
        <v>14</v>
      </c>
    </row>
    <row r="9" spans="2:21" x14ac:dyDescent="0.35">
      <c r="B9" s="1">
        <f t="shared" ref="B9:B10" si="4">B8+1</f>
        <v>3</v>
      </c>
      <c r="F9" s="22"/>
      <c r="H9" s="9" t="str">
        <f>"x"&amp;B9</f>
        <v>x3</v>
      </c>
      <c r="I9" s="33">
        <v>1</v>
      </c>
      <c r="J9" s="4" t="str">
        <f t="shared" si="3"/>
        <v>x1,3</v>
      </c>
      <c r="K9" s="3" t="str">
        <f t="shared" si="2"/>
        <v>x2,3</v>
      </c>
      <c r="L9" s="3" t="str">
        <f t="shared" si="2"/>
        <v>x3,3</v>
      </c>
      <c r="M9" s="3" t="str">
        <f t="shared" si="2"/>
        <v>x4,3</v>
      </c>
      <c r="N9" s="3" t="s">
        <v>3</v>
      </c>
      <c r="O9" s="10" t="str">
        <f t="shared" si="2"/>
        <v>xn,3</v>
      </c>
      <c r="Q9" s="25" t="s">
        <v>9</v>
      </c>
      <c r="S9" s="15"/>
      <c r="U9" s="25" t="s">
        <v>15</v>
      </c>
    </row>
    <row r="10" spans="2:21" x14ac:dyDescent="0.35">
      <c r="B10" s="1">
        <f t="shared" si="4"/>
        <v>4</v>
      </c>
      <c r="F10" s="22"/>
      <c r="H10" s="9" t="str">
        <f>"x"&amp;B10</f>
        <v>x4</v>
      </c>
      <c r="I10" s="33">
        <v>1</v>
      </c>
      <c r="J10" s="4" t="str">
        <f t="shared" si="3"/>
        <v>x1,4</v>
      </c>
      <c r="K10" s="3" t="str">
        <f t="shared" si="2"/>
        <v>x2,4</v>
      </c>
      <c r="L10" s="3" t="str">
        <f t="shared" si="2"/>
        <v>x3,4</v>
      </c>
      <c r="M10" s="3" t="str">
        <f t="shared" si="2"/>
        <v>x4,4</v>
      </c>
      <c r="N10" s="3" t="s">
        <v>3</v>
      </c>
      <c r="O10" s="10" t="str">
        <f t="shared" si="2"/>
        <v>xn,4</v>
      </c>
      <c r="Q10" s="25" t="s">
        <v>10</v>
      </c>
      <c r="S10" s="15"/>
      <c r="U10" s="25" t="s">
        <v>16</v>
      </c>
    </row>
    <row r="11" spans="2:21" x14ac:dyDescent="0.35">
      <c r="B11" s="1" t="s">
        <v>3</v>
      </c>
      <c r="F11" s="22"/>
      <c r="H11" s="9" t="str">
        <f>B11</f>
        <v>…</v>
      </c>
      <c r="I11" s="33">
        <v>1</v>
      </c>
      <c r="J11" s="4" t="s">
        <v>3</v>
      </c>
      <c r="K11" s="3" t="s">
        <v>3</v>
      </c>
      <c r="L11" s="3" t="s">
        <v>3</v>
      </c>
      <c r="M11" s="3" t="s">
        <v>3</v>
      </c>
      <c r="N11" s="3" t="s">
        <v>3</v>
      </c>
      <c r="O11" s="10" t="s">
        <v>3</v>
      </c>
      <c r="Q11" s="25" t="s">
        <v>3</v>
      </c>
      <c r="S11" s="15"/>
      <c r="U11" s="25" t="s">
        <v>3</v>
      </c>
    </row>
    <row r="12" spans="2:21" ht="12" thickBot="1" x14ac:dyDescent="0.4">
      <c r="B12" s="1" t="s">
        <v>2</v>
      </c>
      <c r="F12" s="23"/>
      <c r="H12" s="11" t="str">
        <f>"x"&amp;B12</f>
        <v>xn</v>
      </c>
      <c r="I12" s="34">
        <v>1</v>
      </c>
      <c r="J12" s="12" t="str">
        <f t="shared" si="3"/>
        <v>x1,n</v>
      </c>
      <c r="K12" s="13" t="str">
        <f t="shared" si="2"/>
        <v>x2,n</v>
      </c>
      <c r="L12" s="13" t="str">
        <f t="shared" si="2"/>
        <v>x3,n</v>
      </c>
      <c r="M12" s="13" t="str">
        <f t="shared" si="2"/>
        <v>x4,n</v>
      </c>
      <c r="N12" s="13" t="s">
        <v>3</v>
      </c>
      <c r="O12" s="14" t="str">
        <f t="shared" si="2"/>
        <v>xn,n</v>
      </c>
      <c r="Q12" s="26" t="s">
        <v>11</v>
      </c>
      <c r="U12" s="26" t="s">
        <v>17</v>
      </c>
    </row>
  </sheetData>
  <mergeCells count="2">
    <mergeCell ref="F7:F12"/>
    <mergeCell ref="S8:S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D89C3-C8C0-4300-A594-682D2A75A8F2}">
  <dimension ref="B2:AH12"/>
  <sheetViews>
    <sheetView showGridLines="0" zoomScale="175" zoomScaleNormal="175" workbookViewId="0">
      <selection activeCell="AF18" sqref="AF18"/>
    </sheetView>
  </sheetViews>
  <sheetFormatPr defaultRowHeight="11.5" x14ac:dyDescent="0.35"/>
  <cols>
    <col min="1" max="7" width="2.6328125" style="1" customWidth="1"/>
    <col min="8" max="15" width="3.6328125" style="1" customWidth="1"/>
    <col min="16" max="16" width="2.6328125" style="1" customWidth="1"/>
    <col min="17" max="17" width="7.26953125" style="1" bestFit="1" customWidth="1"/>
    <col min="18" max="18" width="2.6328125" style="1" customWidth="1"/>
    <col min="19" max="19" width="7.26953125" style="1" bestFit="1" customWidth="1"/>
    <col min="20" max="20" width="2.6328125" style="1" customWidth="1"/>
    <col min="21" max="28" width="3.6328125" style="1" customWidth="1"/>
    <col min="29" max="29" width="2.6328125" style="1" customWidth="1"/>
    <col min="30" max="30" width="7.26953125" style="1" bestFit="1" customWidth="1"/>
    <col min="31" max="31" width="2.6328125" style="1" customWidth="1"/>
    <col min="32" max="32" width="19.81640625" style="1" bestFit="1" customWidth="1"/>
    <col min="33" max="33" width="2.6328125" style="1" customWidth="1"/>
    <col min="34" max="34" width="6.36328125" style="1" bestFit="1" customWidth="1"/>
    <col min="35" max="16384" width="8.7265625" style="1"/>
  </cols>
  <sheetData>
    <row r="2" spans="2:34" x14ac:dyDescent="0.35">
      <c r="I2" s="1">
        <v>0</v>
      </c>
      <c r="J2" s="1">
        <v>1</v>
      </c>
      <c r="K2" s="1">
        <f>J2+1</f>
        <v>2</v>
      </c>
      <c r="L2" s="1">
        <f t="shared" ref="L2:M2" si="0">K2+1</f>
        <v>3</v>
      </c>
      <c r="M2" s="1">
        <f t="shared" si="0"/>
        <v>4</v>
      </c>
      <c r="N2" s="1" t="s">
        <v>1</v>
      </c>
      <c r="O2" s="1" t="s">
        <v>2</v>
      </c>
      <c r="W2" s="1">
        <v>1</v>
      </c>
      <c r="X2" s="1">
        <f>W2+1</f>
        <v>2</v>
      </c>
      <c r="Y2" s="1">
        <f t="shared" ref="Y2:Z2" si="1">X2+1</f>
        <v>3</v>
      </c>
      <c r="Z2" s="1">
        <f t="shared" si="1"/>
        <v>4</v>
      </c>
      <c r="AA2" s="1" t="s">
        <v>1</v>
      </c>
      <c r="AB2" s="1" t="s">
        <v>2</v>
      </c>
    </row>
    <row r="3" spans="2:34" ht="12" x14ac:dyDescent="0.35">
      <c r="I3" s="2" t="s">
        <v>0</v>
      </c>
      <c r="J3" s="2" t="s">
        <v>0</v>
      </c>
      <c r="K3" s="1" t="str">
        <f>J3</f>
        <v>x</v>
      </c>
      <c r="L3" s="1" t="str">
        <f t="shared" ref="L3:M3" si="2">K3</f>
        <v>x</v>
      </c>
      <c r="M3" s="1" t="str">
        <f t="shared" si="2"/>
        <v>x</v>
      </c>
      <c r="N3" s="1" t="s">
        <v>1</v>
      </c>
      <c r="O3" s="1" t="s">
        <v>0</v>
      </c>
      <c r="W3" s="31" t="s">
        <v>22</v>
      </c>
      <c r="X3" s="1" t="str">
        <f>W3</f>
        <v>ϕ</v>
      </c>
      <c r="Y3" s="1" t="str">
        <f t="shared" ref="Y3:Z3" si="3">X3</f>
        <v>ϕ</v>
      </c>
      <c r="Z3" s="1" t="str">
        <f t="shared" si="3"/>
        <v>ϕ</v>
      </c>
      <c r="AA3" s="1" t="s">
        <v>1</v>
      </c>
      <c r="AB3" s="1" t="str">
        <f>Z3</f>
        <v>ϕ</v>
      </c>
    </row>
    <row r="4" spans="2:34" ht="12" thickBot="1" x14ac:dyDescent="0.4"/>
    <row r="5" spans="2:34" ht="12" thickBot="1" x14ac:dyDescent="0.4">
      <c r="I5" s="18" t="s">
        <v>4</v>
      </c>
      <c r="J5" s="18"/>
      <c r="K5" s="19"/>
      <c r="L5" s="19"/>
      <c r="M5" s="19"/>
      <c r="N5" s="19"/>
      <c r="O5" s="20"/>
      <c r="V5" s="18" t="s">
        <v>23</v>
      </c>
      <c r="W5" s="18"/>
      <c r="X5" s="19"/>
      <c r="Y5" s="19"/>
      <c r="Z5" s="19"/>
      <c r="AA5" s="19"/>
      <c r="AB5" s="20"/>
      <c r="AD5" s="27" t="s">
        <v>6</v>
      </c>
      <c r="AF5" s="27" t="s">
        <v>18</v>
      </c>
      <c r="AH5" s="27" t="s">
        <v>12</v>
      </c>
    </row>
    <row r="6" spans="2:34" ht="12" thickBot="1" x14ac:dyDescent="0.4">
      <c r="J6" s="16"/>
      <c r="K6" s="17"/>
      <c r="L6" s="17"/>
      <c r="M6" s="17"/>
      <c r="N6" s="17"/>
      <c r="O6" s="17"/>
      <c r="W6" s="16"/>
      <c r="X6" s="17"/>
      <c r="Y6" s="17"/>
      <c r="Z6" s="17"/>
      <c r="AA6" s="17"/>
      <c r="AB6" s="17"/>
    </row>
    <row r="7" spans="2:34" x14ac:dyDescent="0.35">
      <c r="B7" s="1">
        <v>1</v>
      </c>
      <c r="F7" s="21" t="s">
        <v>5</v>
      </c>
      <c r="H7" s="5" t="str">
        <f>"x"&amp;$B7</f>
        <v>x1</v>
      </c>
      <c r="I7" s="32">
        <v>1</v>
      </c>
      <c r="J7" s="6" t="str">
        <f>J$3&amp;J$2&amp;","&amp;$B7</f>
        <v>x1,1</v>
      </c>
      <c r="K7" s="7" t="str">
        <f t="shared" ref="K7:O12" si="4">K$3&amp;K$2&amp;","&amp;$B7</f>
        <v>x2,1</v>
      </c>
      <c r="L7" s="7" t="str">
        <f t="shared" si="4"/>
        <v>x3,1</v>
      </c>
      <c r="M7" s="7" t="str">
        <f t="shared" si="4"/>
        <v>x4,1</v>
      </c>
      <c r="N7" s="7" t="s">
        <v>3</v>
      </c>
      <c r="O7" s="8" t="str">
        <f t="shared" si="4"/>
        <v>xn,1</v>
      </c>
      <c r="Q7" s="28" t="s">
        <v>20</v>
      </c>
      <c r="S7" s="28" t="s">
        <v>21</v>
      </c>
      <c r="U7" s="5" t="str">
        <f>"ϕ"&amp;$B7</f>
        <v>ϕ1</v>
      </c>
      <c r="V7" s="32">
        <v>1</v>
      </c>
      <c r="W7" s="6" t="str">
        <f>W$3&amp;W$2&amp;","&amp;$B7</f>
        <v>ϕ1,1</v>
      </c>
      <c r="X7" s="7" t="str">
        <f t="shared" ref="X7:AB12" si="5">X$3&amp;X$2&amp;","&amp;$B7</f>
        <v>ϕ2,1</v>
      </c>
      <c r="Y7" s="7" t="str">
        <f t="shared" si="5"/>
        <v>ϕ3,1</v>
      </c>
      <c r="Z7" s="7" t="str">
        <f t="shared" si="5"/>
        <v>ϕ4,1</v>
      </c>
      <c r="AA7" s="7" t="s">
        <v>3</v>
      </c>
      <c r="AB7" s="8" t="str">
        <f t="shared" si="5"/>
        <v>ϕn,1</v>
      </c>
      <c r="AD7" s="24" t="s">
        <v>7</v>
      </c>
      <c r="AH7" s="24" t="s">
        <v>13</v>
      </c>
    </row>
    <row r="8" spans="2:34" ht="14.5" customHeight="1" x14ac:dyDescent="0.35">
      <c r="B8" s="1">
        <f>B7+1</f>
        <v>2</v>
      </c>
      <c r="F8" s="22"/>
      <c r="H8" s="9" t="str">
        <f t="shared" ref="H8:H10" si="6">"x"&amp;$B8</f>
        <v>x2</v>
      </c>
      <c r="I8" s="33">
        <v>1</v>
      </c>
      <c r="J8" s="4" t="str">
        <f t="shared" ref="J8:J12" si="7">J$3&amp;J$2&amp;","&amp;$B8</f>
        <v>x1,2</v>
      </c>
      <c r="K8" s="3" t="str">
        <f t="shared" si="4"/>
        <v>x2,2</v>
      </c>
      <c r="L8" s="3" t="str">
        <f t="shared" si="4"/>
        <v>x3,2</v>
      </c>
      <c r="M8" s="3" t="str">
        <f t="shared" si="4"/>
        <v>x4,2</v>
      </c>
      <c r="N8" s="3" t="s">
        <v>3</v>
      </c>
      <c r="O8" s="10" t="str">
        <f t="shared" si="4"/>
        <v>xn,2</v>
      </c>
      <c r="Q8" s="29"/>
      <c r="S8" s="29"/>
      <c r="U8" s="9" t="str">
        <f t="shared" ref="U8:U12" si="8">"ϕ"&amp;$B8</f>
        <v>ϕ2</v>
      </c>
      <c r="V8" s="33">
        <v>1</v>
      </c>
      <c r="W8" s="4" t="str">
        <f t="shared" ref="W8:W12" si="9">W$3&amp;W$2&amp;","&amp;$B8</f>
        <v>ϕ1,2</v>
      </c>
      <c r="X8" s="3" t="str">
        <f t="shared" si="5"/>
        <v>ϕ2,2</v>
      </c>
      <c r="Y8" s="3" t="str">
        <f t="shared" si="5"/>
        <v>ϕ3,2</v>
      </c>
      <c r="Z8" s="3" t="str">
        <f t="shared" si="5"/>
        <v>ϕ4,2</v>
      </c>
      <c r="AA8" s="3" t="s">
        <v>3</v>
      </c>
      <c r="AB8" s="10" t="str">
        <f t="shared" si="5"/>
        <v>ϕn,2</v>
      </c>
      <c r="AD8" s="25" t="s">
        <v>8</v>
      </c>
      <c r="AF8" s="15" t="s">
        <v>19</v>
      </c>
      <c r="AH8" s="25" t="s">
        <v>14</v>
      </c>
    </row>
    <row r="9" spans="2:34" ht="14.5" customHeight="1" x14ac:dyDescent="0.35">
      <c r="B9" s="1">
        <f t="shared" ref="B9:B10" si="10">B8+1</f>
        <v>3</v>
      </c>
      <c r="F9" s="22"/>
      <c r="H9" s="9" t="str">
        <f t="shared" si="6"/>
        <v>x3</v>
      </c>
      <c r="I9" s="33">
        <v>1</v>
      </c>
      <c r="J9" s="4" t="str">
        <f t="shared" si="7"/>
        <v>x1,3</v>
      </c>
      <c r="K9" s="3" t="str">
        <f t="shared" si="4"/>
        <v>x2,3</v>
      </c>
      <c r="L9" s="3" t="str">
        <f t="shared" si="4"/>
        <v>x3,3</v>
      </c>
      <c r="M9" s="3" t="str">
        <f t="shared" si="4"/>
        <v>x4,3</v>
      </c>
      <c r="N9" s="3" t="s">
        <v>3</v>
      </c>
      <c r="O9" s="10" t="str">
        <f t="shared" si="4"/>
        <v>xn,3</v>
      </c>
      <c r="Q9" s="29"/>
      <c r="S9" s="29"/>
      <c r="U9" s="9" t="str">
        <f t="shared" si="8"/>
        <v>ϕ3</v>
      </c>
      <c r="V9" s="33">
        <v>1</v>
      </c>
      <c r="W9" s="4" t="str">
        <f t="shared" si="9"/>
        <v>ϕ1,3</v>
      </c>
      <c r="X9" s="3" t="str">
        <f t="shared" si="5"/>
        <v>ϕ2,3</v>
      </c>
      <c r="Y9" s="3" t="str">
        <f t="shared" si="5"/>
        <v>ϕ3,3</v>
      </c>
      <c r="Z9" s="3" t="str">
        <f t="shared" si="5"/>
        <v>ϕ4,3</v>
      </c>
      <c r="AA9" s="3" t="s">
        <v>3</v>
      </c>
      <c r="AB9" s="10" t="str">
        <f t="shared" si="5"/>
        <v>ϕn,3</v>
      </c>
      <c r="AD9" s="25" t="s">
        <v>9</v>
      </c>
      <c r="AF9" s="15"/>
      <c r="AH9" s="25" t="s">
        <v>15</v>
      </c>
    </row>
    <row r="10" spans="2:34" ht="14.5" customHeight="1" x14ac:dyDescent="0.35">
      <c r="B10" s="1">
        <f t="shared" si="10"/>
        <v>4</v>
      </c>
      <c r="F10" s="22"/>
      <c r="H10" s="9" t="str">
        <f t="shared" si="6"/>
        <v>x4</v>
      </c>
      <c r="I10" s="33">
        <v>1</v>
      </c>
      <c r="J10" s="4" t="str">
        <f t="shared" si="7"/>
        <v>x1,4</v>
      </c>
      <c r="K10" s="3" t="str">
        <f t="shared" si="4"/>
        <v>x2,4</v>
      </c>
      <c r="L10" s="3" t="str">
        <f t="shared" si="4"/>
        <v>x3,4</v>
      </c>
      <c r="M10" s="3" t="str">
        <f t="shared" si="4"/>
        <v>x4,4</v>
      </c>
      <c r="N10" s="3" t="s">
        <v>3</v>
      </c>
      <c r="O10" s="10" t="str">
        <f t="shared" si="4"/>
        <v>xn,4</v>
      </c>
      <c r="Q10" s="29"/>
      <c r="S10" s="29"/>
      <c r="U10" s="9" t="str">
        <f t="shared" si="8"/>
        <v>ϕ4</v>
      </c>
      <c r="V10" s="33">
        <v>1</v>
      </c>
      <c r="W10" s="4" t="str">
        <f t="shared" si="9"/>
        <v>ϕ1,4</v>
      </c>
      <c r="X10" s="3" t="str">
        <f t="shared" si="5"/>
        <v>ϕ2,4</v>
      </c>
      <c r="Y10" s="3" t="str">
        <f t="shared" si="5"/>
        <v>ϕ3,4</v>
      </c>
      <c r="Z10" s="3" t="str">
        <f t="shared" si="5"/>
        <v>ϕ4,4</v>
      </c>
      <c r="AA10" s="3" t="s">
        <v>3</v>
      </c>
      <c r="AB10" s="10" t="str">
        <f t="shared" si="5"/>
        <v>ϕn,4</v>
      </c>
      <c r="AD10" s="25" t="s">
        <v>10</v>
      </c>
      <c r="AF10" s="15"/>
      <c r="AH10" s="25" t="s">
        <v>16</v>
      </c>
    </row>
    <row r="11" spans="2:34" ht="14.5" customHeight="1" x14ac:dyDescent="0.35">
      <c r="B11" s="1" t="s">
        <v>3</v>
      </c>
      <c r="F11" s="22"/>
      <c r="H11" s="9" t="str">
        <f>B11</f>
        <v>…</v>
      </c>
      <c r="I11" s="33">
        <v>1</v>
      </c>
      <c r="J11" s="4" t="s">
        <v>3</v>
      </c>
      <c r="K11" s="3" t="s">
        <v>3</v>
      </c>
      <c r="L11" s="3" t="s">
        <v>3</v>
      </c>
      <c r="M11" s="3" t="s">
        <v>3</v>
      </c>
      <c r="N11" s="3" t="s">
        <v>3</v>
      </c>
      <c r="O11" s="10" t="s">
        <v>3</v>
      </c>
      <c r="Q11" s="29"/>
      <c r="S11" s="29"/>
      <c r="U11" s="9" t="s">
        <v>3</v>
      </c>
      <c r="V11" s="33">
        <v>1</v>
      </c>
      <c r="W11" s="4" t="s">
        <v>3</v>
      </c>
      <c r="X11" s="3" t="s">
        <v>3</v>
      </c>
      <c r="Y11" s="3" t="s">
        <v>3</v>
      </c>
      <c r="Z11" s="3" t="s">
        <v>3</v>
      </c>
      <c r="AA11" s="3" t="s">
        <v>3</v>
      </c>
      <c r="AB11" s="10" t="s">
        <v>3</v>
      </c>
      <c r="AD11" s="25" t="s">
        <v>3</v>
      </c>
      <c r="AF11" s="15"/>
      <c r="AH11" s="25" t="s">
        <v>3</v>
      </c>
    </row>
    <row r="12" spans="2:34" ht="15" customHeight="1" thickBot="1" x14ac:dyDescent="0.4">
      <c r="B12" s="1" t="s">
        <v>2</v>
      </c>
      <c r="F12" s="23"/>
      <c r="H12" s="11" t="str">
        <f>"x"&amp;$B12</f>
        <v>xn</v>
      </c>
      <c r="I12" s="34">
        <v>1</v>
      </c>
      <c r="J12" s="12" t="str">
        <f t="shared" si="7"/>
        <v>x1,n</v>
      </c>
      <c r="K12" s="13" t="str">
        <f t="shared" si="4"/>
        <v>x2,n</v>
      </c>
      <c r="L12" s="13" t="str">
        <f t="shared" si="4"/>
        <v>x3,n</v>
      </c>
      <c r="M12" s="13" t="str">
        <f t="shared" si="4"/>
        <v>x4,n</v>
      </c>
      <c r="N12" s="13" t="s">
        <v>3</v>
      </c>
      <c r="O12" s="14" t="str">
        <f t="shared" si="4"/>
        <v>xn,n</v>
      </c>
      <c r="Q12" s="30"/>
      <c r="S12" s="30"/>
      <c r="U12" s="11" t="str">
        <f t="shared" si="8"/>
        <v>ϕn</v>
      </c>
      <c r="V12" s="34">
        <v>1</v>
      </c>
      <c r="W12" s="12" t="str">
        <f t="shared" si="9"/>
        <v>ϕ1,n</v>
      </c>
      <c r="X12" s="13" t="str">
        <f t="shared" si="5"/>
        <v>ϕ2,n</v>
      </c>
      <c r="Y12" s="13" t="str">
        <f t="shared" si="5"/>
        <v>ϕ3,n</v>
      </c>
      <c r="Z12" s="13" t="str">
        <f t="shared" si="5"/>
        <v>ϕ4,n</v>
      </c>
      <c r="AA12" s="13" t="s">
        <v>3</v>
      </c>
      <c r="AB12" s="14" t="str">
        <f t="shared" si="5"/>
        <v>ϕn,n</v>
      </c>
      <c r="AD12" s="26" t="s">
        <v>11</v>
      </c>
      <c r="AH12" s="26" t="s">
        <v>17</v>
      </c>
    </row>
  </sheetData>
  <mergeCells count="4">
    <mergeCell ref="F7:F12"/>
    <mergeCell ref="Q7:Q12"/>
    <mergeCell ref="S7:S12"/>
    <mergeCell ref="AF8:AF1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LogReg Schematic</vt:lpstr>
      <vt:lpstr>NN Schematic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Chiu</dc:creator>
  <cp:lastModifiedBy>Wesley Chiu</cp:lastModifiedBy>
  <dcterms:created xsi:type="dcterms:W3CDTF">2022-12-17T21:13:54Z</dcterms:created>
  <dcterms:modified xsi:type="dcterms:W3CDTF">2022-12-17T21:47:55Z</dcterms:modified>
</cp:coreProperties>
</file>