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101M Data Science/Assessments/Assessment 1/"/>
    </mc:Choice>
  </mc:AlternateContent>
  <xr:revisionPtr revIDLastSave="0" documentId="8_{F2322FB5-C7E2-4D0C-8901-2656EF7FFC66}" xr6:coauthVersionLast="47" xr6:coauthVersionMax="47" xr10:uidLastSave="{00000000-0000-0000-0000-000000000000}"/>
  <bookViews>
    <workbookView xWindow="-80" yWindow="-80" windowWidth="30160" windowHeight="19560" xr2:uid="{56B79FEA-1198-405E-9221-9B81A0416E0F}"/>
  </bookViews>
  <sheets>
    <sheet name="Scenario B" sheetId="1" r:id="rId1"/>
    <sheet name="Scenario D" sheetId="2" r:id="rId2"/>
    <sheet name="Scenario E" sheetId="3" r:id="rId3"/>
    <sheet name="Sheet4" sheetId="4" r:id="rId4"/>
  </sheets>
  <definedNames>
    <definedName name="_xlnm._FilterDatabase" localSheetId="1" hidden="1">'Scenario D'!$B$4:$R$14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K40" i="1"/>
  <c r="K42" i="1"/>
  <c r="K44" i="1"/>
  <c r="K37" i="1"/>
  <c r="D34" i="1"/>
  <c r="J38" i="1" s="1"/>
  <c r="E34" i="1"/>
  <c r="K39" i="1" s="1"/>
  <c r="F34" i="1"/>
  <c r="L40" i="1" s="1"/>
  <c r="C34" i="1"/>
  <c r="I38" i="1" s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D37" i="1"/>
  <c r="E37" i="1"/>
  <c r="F37" i="1"/>
  <c r="C37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J24" i="1"/>
  <c r="K24" i="1"/>
  <c r="L24" i="1"/>
  <c r="I24" i="1"/>
  <c r="C3" i="3"/>
  <c r="C8" i="3"/>
  <c r="D23" i="2"/>
  <c r="D22" i="2"/>
  <c r="D21" i="2"/>
  <c r="C22" i="2"/>
  <c r="C21" i="2"/>
  <c r="S9" i="2"/>
  <c r="R11" i="2"/>
  <c r="S11" i="2" s="1"/>
  <c r="R7" i="2"/>
  <c r="S7" i="2" s="1"/>
  <c r="R12" i="2"/>
  <c r="S12" i="2" s="1"/>
  <c r="R10" i="2"/>
  <c r="S10" i="2" s="1"/>
  <c r="R5" i="2"/>
  <c r="S5" i="2" s="1"/>
  <c r="R14" i="2"/>
  <c r="S14" i="2" s="1"/>
  <c r="R8" i="2"/>
  <c r="S8" i="2" s="1"/>
  <c r="R6" i="2"/>
  <c r="S6" i="2" s="1"/>
  <c r="R9" i="2"/>
  <c r="R13" i="2"/>
  <c r="S13" i="2" s="1"/>
  <c r="D5" i="1"/>
  <c r="E5" i="1"/>
  <c r="F5" i="1"/>
  <c r="C5" i="1"/>
  <c r="F14" i="1"/>
  <c r="E14" i="1"/>
  <c r="D14" i="1"/>
  <c r="C14" i="1"/>
  <c r="F13" i="1"/>
  <c r="E13" i="1"/>
  <c r="D13" i="1"/>
  <c r="C13" i="1"/>
  <c r="D8" i="1"/>
  <c r="E8" i="1"/>
  <c r="F8" i="1"/>
  <c r="D9" i="1"/>
  <c r="E9" i="1"/>
  <c r="F9" i="1"/>
  <c r="C8" i="1"/>
  <c r="C9" i="1"/>
  <c r="L45" i="1" l="1"/>
  <c r="L42" i="1"/>
  <c r="L44" i="1"/>
  <c r="L39" i="1"/>
  <c r="L37" i="1"/>
  <c r="L41" i="1"/>
  <c r="L38" i="1"/>
  <c r="M38" i="1" s="1"/>
  <c r="L43" i="1"/>
  <c r="K45" i="1"/>
  <c r="K43" i="1"/>
  <c r="K41" i="1"/>
  <c r="J39" i="1"/>
  <c r="J44" i="1"/>
  <c r="J40" i="1"/>
  <c r="J43" i="1"/>
  <c r="J45" i="1"/>
  <c r="J41" i="1"/>
  <c r="J37" i="1"/>
  <c r="J42" i="1"/>
  <c r="I37" i="1"/>
  <c r="I45" i="1"/>
  <c r="M45" i="1" s="1"/>
  <c r="I44" i="1"/>
  <c r="M44" i="1" s="1"/>
  <c r="I43" i="1"/>
  <c r="I42" i="1"/>
  <c r="I41" i="1"/>
  <c r="M41" i="1" s="1"/>
  <c r="I40" i="1"/>
  <c r="M40" i="1" s="1"/>
  <c r="I39" i="1"/>
  <c r="M39" i="1" s="1"/>
  <c r="M28" i="1"/>
  <c r="M32" i="1"/>
  <c r="M24" i="1"/>
  <c r="M31" i="1"/>
  <c r="M30" i="1"/>
  <c r="M29" i="1"/>
  <c r="M27" i="1"/>
  <c r="M26" i="1"/>
  <c r="M25" i="1"/>
  <c r="M42" i="1" l="1"/>
  <c r="M43" i="1"/>
  <c r="M37" i="1"/>
</calcChain>
</file>

<file path=xl/sharedStrings.xml><?xml version="1.0" encoding="utf-8"?>
<sst xmlns="http://schemas.openxmlformats.org/spreadsheetml/2006/main" count="176" uniqueCount="63">
  <si>
    <t>Slen</t>
  </si>
  <si>
    <t>Swid</t>
  </si>
  <si>
    <t>Plen</t>
  </si>
  <si>
    <t>Pwid</t>
  </si>
  <si>
    <t>Species</t>
  </si>
  <si>
    <t>Max</t>
  </si>
  <si>
    <t>Min</t>
  </si>
  <si>
    <t>Max Rescale</t>
  </si>
  <si>
    <t>x=</t>
  </si>
  <si>
    <t>Max-Min Rescale</t>
  </si>
  <si>
    <t xml:space="preserve">x5 = </t>
  </si>
  <si>
    <t>Max-Min</t>
  </si>
  <si>
    <t>Annual</t>
  </si>
  <si>
    <t>Income</t>
  </si>
  <si>
    <t>Defaulted</t>
  </si>
  <si>
    <t>Borrower</t>
  </si>
  <si>
    <t>Yes</t>
  </si>
  <si>
    <t>Single</t>
  </si>
  <si>
    <t>125K</t>
  </si>
  <si>
    <t>No</t>
  </si>
  <si>
    <t>Married</t>
  </si>
  <si>
    <t>100K</t>
  </si>
  <si>
    <t>80K</t>
  </si>
  <si>
    <t>120K</t>
  </si>
  <si>
    <t>Divorced</t>
  </si>
  <si>
    <t>95K</t>
  </si>
  <si>
    <t>70K</t>
  </si>
  <si>
    <t>220K</t>
  </si>
  <si>
    <t>85K</t>
  </si>
  <si>
    <t>75K</t>
  </si>
  <si>
    <t>90K</t>
  </si>
  <si>
    <t>ID</t>
  </si>
  <si>
    <t>Home Owner</t>
  </si>
  <si>
    <t>Martial Status</t>
  </si>
  <si>
    <t>Annual Income</t>
  </si>
  <si>
    <t>Defaulted Borrower</t>
  </si>
  <si>
    <t>Range</t>
  </si>
  <si>
    <t>Bands</t>
  </si>
  <si>
    <t>70-120k</t>
  </si>
  <si>
    <t>120-170k</t>
  </si>
  <si>
    <t>170-220k</t>
  </si>
  <si>
    <t>Bands Min</t>
  </si>
  <si>
    <t>Band</t>
  </si>
  <si>
    <t>Makes Call?</t>
  </si>
  <si>
    <t>Gini</t>
  </si>
  <si>
    <t>Total Set</t>
  </si>
  <si>
    <t>𝐱𝟏</t>
  </si>
  <si>
    <t>setosa</t>
  </si>
  <si>
    <t>𝐱𝟐</t>
  </si>
  <si>
    <t>𝐱𝟑</t>
  </si>
  <si>
    <t>𝐱𝟒</t>
  </si>
  <si>
    <t>versicolor</t>
  </si>
  <si>
    <t>𝐱𝟓</t>
  </si>
  <si>
    <t>𝐱𝟔</t>
  </si>
  <si>
    <t>𝐱𝟕</t>
  </si>
  <si>
    <t>virginica</t>
  </si>
  <si>
    <t>𝐱𝟖</t>
  </si>
  <si>
    <t>𝐱𝟗</t>
  </si>
  <si>
    <t>x</t>
  </si>
  <si>
    <t>Dist to x^2</t>
  </si>
  <si>
    <t>Euclid Dist</t>
  </si>
  <si>
    <t>Rescaled</t>
  </si>
  <si>
    <t>x_rescaled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</si>
</sst>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3" fontId="0" fillId="2" borderId="0" xfId="0" applyNumberFormat="1" applyFill="1"/>
    <xf numFmtId="0" fontId="0" fillId="2" borderId="0" xfId="0" applyFill="1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193C-9BC1-4A31-94DB-D0C7CB6D5629}">
  <dimension ref="B2:M45"/>
  <sheetViews>
    <sheetView tabSelected="1" zoomScale="145" zoomScaleNormal="145" workbookViewId="0">
      <selection activeCell="M12" sqref="M12"/>
    </sheetView>
  </sheetViews>
  <sheetFormatPr defaultRowHeight="14.5" x14ac:dyDescent="0.35"/>
  <cols>
    <col min="2" max="2" width="15.08984375" bestFit="1" customWidth="1"/>
  </cols>
  <sheetData>
    <row r="2" spans="2:7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7" x14ac:dyDescent="0.35">
      <c r="B3" t="s">
        <v>5</v>
      </c>
      <c r="C3" s="1">
        <v>6.9</v>
      </c>
      <c r="D3" s="1">
        <v>3.6</v>
      </c>
      <c r="E3" s="1">
        <v>5.6</v>
      </c>
      <c r="F3" s="1">
        <v>1.9</v>
      </c>
    </row>
    <row r="4" spans="2:7" x14ac:dyDescent="0.35">
      <c r="B4" t="s">
        <v>6</v>
      </c>
      <c r="C4" s="1">
        <v>4.9000000000000004</v>
      </c>
      <c r="D4" s="1">
        <v>2.6</v>
      </c>
      <c r="E4" s="1">
        <v>1.3</v>
      </c>
      <c r="F4" s="1">
        <v>0.2</v>
      </c>
    </row>
    <row r="5" spans="2:7" x14ac:dyDescent="0.35">
      <c r="B5" s="3" t="s">
        <v>11</v>
      </c>
      <c r="C5" s="2">
        <f>C3-C4</f>
        <v>2</v>
      </c>
      <c r="D5" s="2">
        <f t="shared" ref="D5:F5" si="0">D3-D4</f>
        <v>1</v>
      </c>
      <c r="E5" s="2">
        <f t="shared" si="0"/>
        <v>4.3</v>
      </c>
      <c r="F5" s="2">
        <f t="shared" si="0"/>
        <v>1.7</v>
      </c>
    </row>
    <row r="7" spans="2:7" x14ac:dyDescent="0.35">
      <c r="B7" t="s">
        <v>8</v>
      </c>
      <c r="C7">
        <v>6.1</v>
      </c>
      <c r="D7">
        <v>2.8</v>
      </c>
      <c r="E7">
        <v>4.7</v>
      </c>
      <c r="F7">
        <v>1.2</v>
      </c>
    </row>
    <row r="8" spans="2:7" x14ac:dyDescent="0.35">
      <c r="B8" t="s">
        <v>7</v>
      </c>
      <c r="C8" s="2">
        <f>C7/C$3</f>
        <v>0.88405797101449268</v>
      </c>
      <c r="D8" s="2">
        <f t="shared" ref="D8:F8" si="1">D7/D$3</f>
        <v>0.77777777777777768</v>
      </c>
      <c r="E8" s="2">
        <f t="shared" si="1"/>
        <v>0.83928571428571441</v>
      </c>
      <c r="F8" s="2">
        <f t="shared" si="1"/>
        <v>0.63157894736842102</v>
      </c>
    </row>
    <row r="9" spans="2:7" x14ac:dyDescent="0.35">
      <c r="B9" t="s">
        <v>9</v>
      </c>
      <c r="C9" s="2">
        <f>((C7-C$4)/(C$3-C$4))</f>
        <v>0.59999999999999964</v>
      </c>
      <c r="D9" s="2">
        <f t="shared" ref="D9:F9" si="2">((D7-D$4)/(D$3-D$4))</f>
        <v>0.19999999999999973</v>
      </c>
      <c r="E9" s="2">
        <f t="shared" si="2"/>
        <v>0.79069767441860472</v>
      </c>
      <c r="F9" s="2">
        <f t="shared" si="2"/>
        <v>0.58823529411764708</v>
      </c>
    </row>
    <row r="12" spans="2:7" x14ac:dyDescent="0.35">
      <c r="B12" t="s">
        <v>10</v>
      </c>
      <c r="C12">
        <v>6.1</v>
      </c>
      <c r="D12">
        <v>3</v>
      </c>
      <c r="E12">
        <v>4.5999999999999996</v>
      </c>
      <c r="F12">
        <v>1.4</v>
      </c>
    </row>
    <row r="13" spans="2:7" x14ac:dyDescent="0.35">
      <c r="B13" t="s">
        <v>7</v>
      </c>
      <c r="C13" s="2">
        <f>C12/C$3</f>
        <v>0.88405797101449268</v>
      </c>
      <c r="D13" s="2">
        <f t="shared" ref="D13" si="3">D12/D$3</f>
        <v>0.83333333333333326</v>
      </c>
      <c r="E13" s="2">
        <f t="shared" ref="E13" si="4">E12/E$3</f>
        <v>0.8214285714285714</v>
      </c>
      <c r="F13" s="2">
        <f t="shared" ref="F13" si="5">F12/F$3</f>
        <v>0.73684210526315785</v>
      </c>
    </row>
    <row r="14" spans="2:7" x14ac:dyDescent="0.35">
      <c r="B14" t="s">
        <v>9</v>
      </c>
      <c r="C14" s="2">
        <f>((C12-C$4)/(C$3-C$4))</f>
        <v>0.59999999999999964</v>
      </c>
      <c r="D14" s="2">
        <f t="shared" ref="D14:F14" si="6">((D12-D$4)/(D$3-D$4))</f>
        <v>0.39999999999999991</v>
      </c>
      <c r="E14" s="2">
        <f t="shared" si="6"/>
        <v>0.76744186046511631</v>
      </c>
      <c r="F14" s="2">
        <f t="shared" si="6"/>
        <v>0.70588235294117652</v>
      </c>
    </row>
    <row r="21" spans="2:13" x14ac:dyDescent="0.35">
      <c r="B21" s="4" t="s">
        <v>58</v>
      </c>
      <c r="C21">
        <v>5.5</v>
      </c>
      <c r="D21">
        <v>3.5</v>
      </c>
      <c r="E21">
        <v>1.1000000000000001</v>
      </c>
      <c r="F21">
        <v>0.5</v>
      </c>
    </row>
    <row r="22" spans="2:13" x14ac:dyDescent="0.35">
      <c r="I22" s="4" t="s">
        <v>59</v>
      </c>
    </row>
    <row r="23" spans="2:13" x14ac:dyDescent="0.35">
      <c r="C23" s="4" t="s">
        <v>0</v>
      </c>
      <c r="D23" s="4" t="s">
        <v>1</v>
      </c>
      <c r="E23" s="4" t="s">
        <v>2</v>
      </c>
      <c r="F23" s="4" t="s">
        <v>3</v>
      </c>
      <c r="G23" s="4" t="s">
        <v>4</v>
      </c>
      <c r="I23" s="4" t="s">
        <v>0</v>
      </c>
      <c r="J23" s="4" t="s">
        <v>1</v>
      </c>
      <c r="K23" s="4" t="s">
        <v>2</v>
      </c>
      <c r="L23" s="4" t="s">
        <v>3</v>
      </c>
      <c r="M23" s="4" t="s">
        <v>60</v>
      </c>
    </row>
    <row r="24" spans="2:13" x14ac:dyDescent="0.35">
      <c r="B24" t="s">
        <v>46</v>
      </c>
      <c r="C24">
        <v>5.0999999999999996</v>
      </c>
      <c r="D24">
        <v>3.5</v>
      </c>
      <c r="E24">
        <v>1.4</v>
      </c>
      <c r="F24">
        <v>0.2</v>
      </c>
      <c r="G24" t="s">
        <v>47</v>
      </c>
      <c r="I24" s="6">
        <f>(C24-C$21)^2</f>
        <v>0.16000000000000028</v>
      </c>
      <c r="J24" s="6">
        <f t="shared" ref="J24:L24" si="7">(D24-D$21)^2</f>
        <v>0</v>
      </c>
      <c r="K24" s="6">
        <f t="shared" si="7"/>
        <v>8.99999999999999E-2</v>
      </c>
      <c r="L24" s="6">
        <f t="shared" si="7"/>
        <v>0.09</v>
      </c>
      <c r="M24" s="11">
        <f>SQRT(SUM(I24:L24))</f>
        <v>0.58309518948453021</v>
      </c>
    </row>
    <row r="25" spans="2:13" x14ac:dyDescent="0.35">
      <c r="B25" t="s">
        <v>48</v>
      </c>
      <c r="C25">
        <v>4.9000000000000004</v>
      </c>
      <c r="D25">
        <v>3</v>
      </c>
      <c r="E25">
        <v>1.4</v>
      </c>
      <c r="F25">
        <v>0.2</v>
      </c>
      <c r="G25" t="s">
        <v>47</v>
      </c>
      <c r="I25" s="6">
        <f t="shared" ref="I25:I32" si="8">(C25-C$21)^2</f>
        <v>0.3599999999999996</v>
      </c>
      <c r="J25" s="6">
        <f t="shared" ref="J25:J32" si="9">(D25-D$21)^2</f>
        <v>0.25</v>
      </c>
      <c r="K25" s="6">
        <f t="shared" ref="K25:K32" si="10">(E25-E$21)^2</f>
        <v>8.99999999999999E-2</v>
      </c>
      <c r="L25" s="6">
        <f t="shared" ref="L25:L32" si="11">(F25-F$21)^2</f>
        <v>0.09</v>
      </c>
      <c r="M25" s="11">
        <f t="shared" ref="M25:M32" si="12">SQRT(SUM(I25:L25))</f>
        <v>0.88881944173155858</v>
      </c>
    </row>
    <row r="26" spans="2:13" x14ac:dyDescent="0.35">
      <c r="B26" t="s">
        <v>49</v>
      </c>
      <c r="C26">
        <v>5.5</v>
      </c>
      <c r="D26">
        <v>3.5</v>
      </c>
      <c r="E26">
        <v>1.3</v>
      </c>
      <c r="F26">
        <v>0.2</v>
      </c>
      <c r="G26" t="s">
        <v>47</v>
      </c>
      <c r="I26" s="6">
        <f t="shared" si="8"/>
        <v>0</v>
      </c>
      <c r="J26" s="6">
        <f t="shared" si="9"/>
        <v>0</v>
      </c>
      <c r="K26" s="6">
        <f t="shared" si="10"/>
        <v>3.999999999999998E-2</v>
      </c>
      <c r="L26" s="6">
        <f t="shared" si="11"/>
        <v>0.09</v>
      </c>
      <c r="M26" s="11">
        <f t="shared" si="12"/>
        <v>0.3605551275463989</v>
      </c>
    </row>
    <row r="27" spans="2:13" x14ac:dyDescent="0.35">
      <c r="B27" t="s">
        <v>50</v>
      </c>
      <c r="C27">
        <v>6.1</v>
      </c>
      <c r="D27">
        <v>2.9</v>
      </c>
      <c r="E27">
        <v>4.7</v>
      </c>
      <c r="F27">
        <v>1.4</v>
      </c>
      <c r="G27" t="s">
        <v>51</v>
      </c>
      <c r="I27" s="6">
        <f t="shared" si="8"/>
        <v>0.3599999999999996</v>
      </c>
      <c r="J27" s="6">
        <f t="shared" si="9"/>
        <v>0.3600000000000001</v>
      </c>
      <c r="K27" s="6">
        <f t="shared" si="10"/>
        <v>12.96</v>
      </c>
      <c r="L27" s="6">
        <f t="shared" si="11"/>
        <v>0.80999999999999983</v>
      </c>
      <c r="M27" s="11">
        <f t="shared" si="12"/>
        <v>3.8065732621348563</v>
      </c>
    </row>
    <row r="28" spans="2:13" x14ac:dyDescent="0.35">
      <c r="B28" t="s">
        <v>52</v>
      </c>
      <c r="C28">
        <v>6.1</v>
      </c>
      <c r="D28">
        <v>3</v>
      </c>
      <c r="E28">
        <v>4.5999999999999996</v>
      </c>
      <c r="F28">
        <v>1.4</v>
      </c>
      <c r="G28" t="s">
        <v>51</v>
      </c>
      <c r="I28" s="6">
        <f t="shared" si="8"/>
        <v>0.3599999999999996</v>
      </c>
      <c r="J28" s="6">
        <f t="shared" si="9"/>
        <v>0.25</v>
      </c>
      <c r="K28" s="6">
        <f t="shared" si="10"/>
        <v>12.249999999999996</v>
      </c>
      <c r="L28" s="6">
        <f t="shared" si="11"/>
        <v>0.80999999999999983</v>
      </c>
      <c r="M28" s="11">
        <f t="shared" si="12"/>
        <v>3.6972963094672298</v>
      </c>
    </row>
    <row r="29" spans="2:13" x14ac:dyDescent="0.35">
      <c r="B29" t="s">
        <v>53</v>
      </c>
      <c r="C29">
        <v>6.1</v>
      </c>
      <c r="D29">
        <v>2.8</v>
      </c>
      <c r="E29">
        <v>4.7</v>
      </c>
      <c r="F29">
        <v>1.9</v>
      </c>
      <c r="G29" t="s">
        <v>51</v>
      </c>
      <c r="I29" s="6">
        <f t="shared" si="8"/>
        <v>0.3599999999999996</v>
      </c>
      <c r="J29" s="6">
        <f t="shared" si="9"/>
        <v>0.49000000000000027</v>
      </c>
      <c r="K29" s="6">
        <f t="shared" si="10"/>
        <v>12.96</v>
      </c>
      <c r="L29" s="6">
        <f t="shared" si="11"/>
        <v>1.9599999999999997</v>
      </c>
      <c r="M29" s="11">
        <f t="shared" si="12"/>
        <v>3.9711459303329559</v>
      </c>
    </row>
    <row r="30" spans="2:13" x14ac:dyDescent="0.35">
      <c r="B30" t="s">
        <v>54</v>
      </c>
      <c r="C30">
        <v>6.9</v>
      </c>
      <c r="D30">
        <v>2.6</v>
      </c>
      <c r="E30">
        <v>5.6</v>
      </c>
      <c r="F30">
        <v>1.4</v>
      </c>
      <c r="G30" t="s">
        <v>55</v>
      </c>
      <c r="I30" s="6">
        <f t="shared" si="8"/>
        <v>1.9600000000000011</v>
      </c>
      <c r="J30" s="6">
        <f t="shared" si="9"/>
        <v>0.80999999999999983</v>
      </c>
      <c r="K30" s="6">
        <f t="shared" si="10"/>
        <v>20.25</v>
      </c>
      <c r="L30" s="6">
        <f t="shared" si="11"/>
        <v>0.80999999999999983</v>
      </c>
      <c r="M30" s="11">
        <f t="shared" si="12"/>
        <v>4.8815980989835692</v>
      </c>
    </row>
    <row r="31" spans="2:13" x14ac:dyDescent="0.35">
      <c r="B31" t="s">
        <v>56</v>
      </c>
      <c r="C31">
        <v>6.1</v>
      </c>
      <c r="D31">
        <v>3.6</v>
      </c>
      <c r="E31">
        <v>4.9000000000000004</v>
      </c>
      <c r="F31">
        <v>1.8</v>
      </c>
      <c r="G31" t="s">
        <v>55</v>
      </c>
      <c r="I31" s="6">
        <f t="shared" si="8"/>
        <v>0.3599999999999996</v>
      </c>
      <c r="J31" s="6">
        <f t="shared" si="9"/>
        <v>1.0000000000000018E-2</v>
      </c>
      <c r="K31" s="6">
        <f t="shared" si="10"/>
        <v>14.440000000000001</v>
      </c>
      <c r="L31" s="6">
        <f t="shared" si="11"/>
        <v>1.6900000000000002</v>
      </c>
      <c r="M31" s="11">
        <f t="shared" si="12"/>
        <v>4.0620192023179804</v>
      </c>
    </row>
    <row r="32" spans="2:13" x14ac:dyDescent="0.35">
      <c r="B32" t="s">
        <v>57</v>
      </c>
      <c r="C32">
        <v>6.5</v>
      </c>
      <c r="D32">
        <v>3</v>
      </c>
      <c r="E32">
        <v>5.5</v>
      </c>
      <c r="F32">
        <v>1.8</v>
      </c>
      <c r="G32" t="s">
        <v>55</v>
      </c>
      <c r="I32" s="6">
        <f t="shared" si="8"/>
        <v>1</v>
      </c>
      <c r="J32" s="6">
        <f t="shared" si="9"/>
        <v>0.25</v>
      </c>
      <c r="K32" s="6">
        <f t="shared" si="10"/>
        <v>19.360000000000003</v>
      </c>
      <c r="L32" s="6">
        <f t="shared" si="11"/>
        <v>1.6900000000000002</v>
      </c>
      <c r="M32" s="11">
        <f t="shared" si="12"/>
        <v>4.7222875812470386</v>
      </c>
    </row>
    <row r="34" spans="2:13" x14ac:dyDescent="0.35">
      <c r="B34" s="4" t="s">
        <v>62</v>
      </c>
      <c r="C34" s="6">
        <f>C21/MAX(C$24:C$32)</f>
        <v>0.79710144927536231</v>
      </c>
      <c r="D34" s="6">
        <f t="shared" ref="D34:F34" si="13">D21/MAX(D$24:D$32)</f>
        <v>0.97222222222222221</v>
      </c>
      <c r="E34" s="6">
        <f t="shared" si="13"/>
        <v>0.19642857142857145</v>
      </c>
      <c r="F34" s="6">
        <f t="shared" si="13"/>
        <v>0.26315789473684209</v>
      </c>
    </row>
    <row r="36" spans="2:13" x14ac:dyDescent="0.35">
      <c r="B36" s="4" t="s">
        <v>61</v>
      </c>
      <c r="C36" s="4" t="s">
        <v>0</v>
      </c>
      <c r="D36" s="4" t="s">
        <v>1</v>
      </c>
      <c r="E36" s="4" t="s">
        <v>2</v>
      </c>
      <c r="F36" s="4" t="s">
        <v>3</v>
      </c>
      <c r="G36" s="4" t="s">
        <v>4</v>
      </c>
      <c r="I36" s="4" t="s">
        <v>0</v>
      </c>
      <c r="J36" s="4" t="s">
        <v>1</v>
      </c>
      <c r="K36" s="4" t="s">
        <v>2</v>
      </c>
      <c r="L36" s="4" t="s">
        <v>3</v>
      </c>
      <c r="M36" s="4" t="s">
        <v>60</v>
      </c>
    </row>
    <row r="37" spans="2:13" x14ac:dyDescent="0.35">
      <c r="B37" t="s">
        <v>46</v>
      </c>
      <c r="C37" s="6">
        <f>C24/MAX(C$24:C$32)</f>
        <v>0.73913043478260865</v>
      </c>
      <c r="D37" s="6">
        <f t="shared" ref="D37:F37" si="14">D24/MAX(D$24:D$32)</f>
        <v>0.97222222222222221</v>
      </c>
      <c r="E37" s="6">
        <f t="shared" si="14"/>
        <v>0.25</v>
      </c>
      <c r="F37" s="6">
        <f t="shared" si="14"/>
        <v>0.10526315789473685</v>
      </c>
      <c r="G37" t="s">
        <v>47</v>
      </c>
      <c r="I37" s="6">
        <f>(C37-C$34)^2</f>
        <v>3.3606385213190548E-3</v>
      </c>
      <c r="J37" s="6">
        <f t="shared" ref="J37:L37" si="15">(D37-D$34)^2</f>
        <v>0</v>
      </c>
      <c r="K37" s="6">
        <f t="shared" si="15"/>
        <v>2.869897959183671E-3</v>
      </c>
      <c r="L37" s="6">
        <f t="shared" si="15"/>
        <v>2.4930747922437671E-2</v>
      </c>
      <c r="M37" s="11">
        <f>SQRT(SUM(I37:L37))</f>
        <v>0.17652559135417278</v>
      </c>
    </row>
    <row r="38" spans="2:13" x14ac:dyDescent="0.35">
      <c r="B38" t="s">
        <v>48</v>
      </c>
      <c r="C38" s="6">
        <f t="shared" ref="C38:F38" si="16">C25/MAX(C$24:C$32)</f>
        <v>0.71014492753623193</v>
      </c>
      <c r="D38" s="6">
        <f t="shared" si="16"/>
        <v>0.83333333333333326</v>
      </c>
      <c r="E38" s="6">
        <f t="shared" si="16"/>
        <v>0.25</v>
      </c>
      <c r="F38" s="6">
        <f t="shared" si="16"/>
        <v>0.10526315789473685</v>
      </c>
      <c r="G38" t="s">
        <v>47</v>
      </c>
      <c r="I38" s="6">
        <f t="shared" ref="I38:I45" si="17">(C38-C$34)^2</f>
        <v>7.5614366729678537E-3</v>
      </c>
      <c r="J38" s="6">
        <f t="shared" ref="J38:J45" si="18">(D38-D$34)^2</f>
        <v>1.929012345679014E-2</v>
      </c>
      <c r="K38" s="6">
        <f t="shared" ref="K38:K45" si="19">(E38-E$34)^2</f>
        <v>2.869897959183671E-3</v>
      </c>
      <c r="L38" s="6">
        <f t="shared" ref="L38:L45" si="20">(F38-F$34)^2</f>
        <v>2.4930747922437671E-2</v>
      </c>
      <c r="M38" s="11">
        <f t="shared" ref="M38:M45" si="21">SQRT(SUM(I38:L38))</f>
        <v>0.2337781127723024</v>
      </c>
    </row>
    <row r="39" spans="2:13" x14ac:dyDescent="0.35">
      <c r="B39" t="s">
        <v>49</v>
      </c>
      <c r="C39" s="6">
        <f t="shared" ref="C39:F39" si="22">C26/MAX(C$24:C$32)</f>
        <v>0.79710144927536231</v>
      </c>
      <c r="D39" s="6">
        <f t="shared" si="22"/>
        <v>0.97222222222222221</v>
      </c>
      <c r="E39" s="6">
        <f t="shared" si="22"/>
        <v>0.23214285714285718</v>
      </c>
      <c r="F39" s="6">
        <f t="shared" si="22"/>
        <v>0.10526315789473685</v>
      </c>
      <c r="G39" t="s">
        <v>47</v>
      </c>
      <c r="I39" s="6">
        <f t="shared" si="17"/>
        <v>0</v>
      </c>
      <c r="J39" s="6">
        <f t="shared" si="18"/>
        <v>0</v>
      </c>
      <c r="K39" s="6">
        <f t="shared" si="19"/>
        <v>1.2755102040816334E-3</v>
      </c>
      <c r="L39" s="6">
        <f t="shared" si="20"/>
        <v>2.4930747922437671E-2</v>
      </c>
      <c r="M39" s="11">
        <f t="shared" si="21"/>
        <v>0.16188347082552718</v>
      </c>
    </row>
    <row r="40" spans="2:13" x14ac:dyDescent="0.35">
      <c r="B40" t="s">
        <v>50</v>
      </c>
      <c r="C40" s="6">
        <f t="shared" ref="C40:F40" si="23">C27/MAX(C$24:C$32)</f>
        <v>0.88405797101449268</v>
      </c>
      <c r="D40" s="6">
        <f t="shared" si="23"/>
        <v>0.80555555555555547</v>
      </c>
      <c r="E40" s="6">
        <f t="shared" si="23"/>
        <v>0.83928571428571441</v>
      </c>
      <c r="F40" s="6">
        <f t="shared" si="23"/>
        <v>0.73684210526315785</v>
      </c>
      <c r="G40" t="s">
        <v>51</v>
      </c>
      <c r="I40" s="6">
        <f t="shared" si="17"/>
        <v>7.5614366729678537E-3</v>
      </c>
      <c r="J40" s="6">
        <f t="shared" si="18"/>
        <v>2.7777777777777804E-2</v>
      </c>
      <c r="K40" s="6">
        <f t="shared" si="19"/>
        <v>0.41326530612244916</v>
      </c>
      <c r="L40" s="6">
        <f t="shared" si="20"/>
        <v>0.22437673130193903</v>
      </c>
      <c r="M40" s="11">
        <f t="shared" si="21"/>
        <v>0.82035434531373941</v>
      </c>
    </row>
    <row r="41" spans="2:13" x14ac:dyDescent="0.35">
      <c r="B41" t="s">
        <v>52</v>
      </c>
      <c r="C41" s="6">
        <f t="shared" ref="C41:F41" si="24">C28/MAX(C$24:C$32)</f>
        <v>0.88405797101449268</v>
      </c>
      <c r="D41" s="6">
        <f t="shared" si="24"/>
        <v>0.83333333333333326</v>
      </c>
      <c r="E41" s="6">
        <f t="shared" si="24"/>
        <v>0.8214285714285714</v>
      </c>
      <c r="F41" s="6">
        <f t="shared" si="24"/>
        <v>0.73684210526315785</v>
      </c>
      <c r="G41" t="s">
        <v>51</v>
      </c>
      <c r="I41" s="6">
        <f t="shared" si="17"/>
        <v>7.5614366729678537E-3</v>
      </c>
      <c r="J41" s="6">
        <f t="shared" si="18"/>
        <v>1.929012345679014E-2</v>
      </c>
      <c r="K41" s="6">
        <f t="shared" si="19"/>
        <v>0.390625</v>
      </c>
      <c r="L41" s="6">
        <f t="shared" si="20"/>
        <v>0.22437673130193903</v>
      </c>
      <c r="M41" s="11">
        <f t="shared" si="21"/>
        <v>0.80115746980958558</v>
      </c>
    </row>
    <row r="42" spans="2:13" x14ac:dyDescent="0.35">
      <c r="B42" t="s">
        <v>53</v>
      </c>
      <c r="C42" s="6">
        <f t="shared" ref="C42:F42" si="25">C29/MAX(C$24:C$32)</f>
        <v>0.88405797101449268</v>
      </c>
      <c r="D42" s="6">
        <f t="shared" si="25"/>
        <v>0.77777777777777768</v>
      </c>
      <c r="E42" s="6">
        <f t="shared" si="25"/>
        <v>0.83928571428571441</v>
      </c>
      <c r="F42" s="6">
        <f t="shared" si="25"/>
        <v>1</v>
      </c>
      <c r="G42" t="s">
        <v>51</v>
      </c>
      <c r="I42" s="6">
        <f t="shared" si="17"/>
        <v>7.5614366729678537E-3</v>
      </c>
      <c r="J42" s="6">
        <f t="shared" si="18"/>
        <v>3.7808641975308678E-2</v>
      </c>
      <c r="K42" s="6">
        <f t="shared" si="19"/>
        <v>0.41326530612244916</v>
      </c>
      <c r="L42" s="6">
        <f t="shared" si="20"/>
        <v>0.5429362880886428</v>
      </c>
      <c r="M42" s="11">
        <f t="shared" si="21"/>
        <v>1.0007855279026412</v>
      </c>
    </row>
    <row r="43" spans="2:13" x14ac:dyDescent="0.35">
      <c r="B43" t="s">
        <v>54</v>
      </c>
      <c r="C43" s="6">
        <f t="shared" ref="C43:F43" si="26">C30/MAX(C$24:C$32)</f>
        <v>1</v>
      </c>
      <c r="D43" s="6">
        <f t="shared" si="26"/>
        <v>0.72222222222222221</v>
      </c>
      <c r="E43" s="6">
        <f t="shared" si="26"/>
        <v>1</v>
      </c>
      <c r="F43" s="6">
        <f t="shared" si="26"/>
        <v>0.73684210526315785</v>
      </c>
      <c r="G43" t="s">
        <v>55</v>
      </c>
      <c r="I43" s="6">
        <f t="shared" si="17"/>
        <v>4.1167821886158376E-2</v>
      </c>
      <c r="J43" s="6">
        <f t="shared" si="18"/>
        <v>6.25E-2</v>
      </c>
      <c r="K43" s="6">
        <f t="shared" si="19"/>
        <v>0.64572704081632659</v>
      </c>
      <c r="L43" s="6">
        <f t="shared" si="20"/>
        <v>0.22437673130193903</v>
      </c>
      <c r="M43" s="11">
        <f t="shared" si="21"/>
        <v>0.9867986593041278</v>
      </c>
    </row>
    <row r="44" spans="2:13" x14ac:dyDescent="0.35">
      <c r="B44" t="s">
        <v>56</v>
      </c>
      <c r="C44" s="6">
        <f t="shared" ref="C44:F44" si="27">C31/MAX(C$24:C$32)</f>
        <v>0.88405797101449268</v>
      </c>
      <c r="D44" s="6">
        <f t="shared" si="27"/>
        <v>1</v>
      </c>
      <c r="E44" s="6">
        <f t="shared" si="27"/>
        <v>0.87500000000000011</v>
      </c>
      <c r="F44" s="6">
        <f t="shared" si="27"/>
        <v>0.94736842105263164</v>
      </c>
      <c r="G44" t="s">
        <v>55</v>
      </c>
      <c r="I44" s="6">
        <f t="shared" si="17"/>
        <v>7.5614366729678537E-3</v>
      </c>
      <c r="J44" s="6">
        <f t="shared" si="18"/>
        <v>7.7160493827160565E-4</v>
      </c>
      <c r="K44" s="6">
        <f t="shared" si="19"/>
        <v>0.46045918367346944</v>
      </c>
      <c r="L44" s="6">
        <f t="shared" si="20"/>
        <v>0.46814404432132983</v>
      </c>
      <c r="M44" s="11">
        <f t="shared" si="21"/>
        <v>0.96795468365313397</v>
      </c>
    </row>
    <row r="45" spans="2:13" x14ac:dyDescent="0.35">
      <c r="B45" t="s">
        <v>57</v>
      </c>
      <c r="C45" s="6">
        <f t="shared" ref="C45:F45" si="28">C32/MAX(C$24:C$32)</f>
        <v>0.94202898550724634</v>
      </c>
      <c r="D45" s="6">
        <f t="shared" si="28"/>
        <v>0.83333333333333326</v>
      </c>
      <c r="E45" s="6">
        <f t="shared" si="28"/>
        <v>0.98214285714285721</v>
      </c>
      <c r="F45" s="6">
        <f t="shared" si="28"/>
        <v>0.94736842105263164</v>
      </c>
      <c r="G45" t="s">
        <v>55</v>
      </c>
      <c r="I45" s="6">
        <f t="shared" si="17"/>
        <v>2.1003990758244061E-2</v>
      </c>
      <c r="J45" s="6">
        <f t="shared" si="18"/>
        <v>1.929012345679014E-2</v>
      </c>
      <c r="K45" s="6">
        <f t="shared" si="19"/>
        <v>0.61734693877551039</v>
      </c>
      <c r="L45" s="6">
        <f t="shared" si="20"/>
        <v>0.46814404432132983</v>
      </c>
      <c r="M45" s="11">
        <f t="shared" si="21"/>
        <v>1.0610302056548033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C19F-FA16-419E-80E3-3BD88E726128}">
  <dimension ref="B3:W23"/>
  <sheetViews>
    <sheetView workbookViewId="0">
      <selection activeCell="D23" sqref="D23"/>
    </sheetView>
  </sheetViews>
  <sheetFormatPr defaultRowHeight="14.5" x14ac:dyDescent="0.35"/>
  <cols>
    <col min="1" max="1" width="2.6328125" customWidth="1"/>
    <col min="2" max="6" width="20.6328125" customWidth="1"/>
    <col min="7" max="17" width="0" hidden="1" customWidth="1"/>
    <col min="18" max="18" width="9.81640625" style="7" bestFit="1" customWidth="1"/>
    <col min="19" max="19" width="8.7265625" style="7"/>
  </cols>
  <sheetData>
    <row r="3" spans="2:23" x14ac:dyDescent="0.35">
      <c r="M3">
        <v>1</v>
      </c>
      <c r="N3" t="s">
        <v>16</v>
      </c>
      <c r="O3" t="s">
        <v>17</v>
      </c>
      <c r="P3" t="s">
        <v>18</v>
      </c>
      <c r="Q3" t="s">
        <v>19</v>
      </c>
    </row>
    <row r="4" spans="2:23" x14ac:dyDescent="0.35"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t="s">
        <v>12</v>
      </c>
      <c r="H4" t="s">
        <v>13</v>
      </c>
      <c r="I4" t="s">
        <v>14</v>
      </c>
      <c r="J4" t="s">
        <v>15</v>
      </c>
      <c r="M4">
        <v>2</v>
      </c>
      <c r="N4" t="s">
        <v>19</v>
      </c>
      <c r="O4" t="s">
        <v>20</v>
      </c>
      <c r="P4" t="s">
        <v>21</v>
      </c>
      <c r="Q4" t="s">
        <v>19</v>
      </c>
      <c r="R4" s="8" t="s">
        <v>36</v>
      </c>
      <c r="S4" s="8" t="s">
        <v>42</v>
      </c>
      <c r="V4" s="4" t="s">
        <v>41</v>
      </c>
      <c r="W4" s="4" t="s">
        <v>37</v>
      </c>
    </row>
    <row r="5" spans="2:23" x14ac:dyDescent="0.35">
      <c r="B5" s="1">
        <v>6</v>
      </c>
      <c r="C5" s="1" t="s">
        <v>19</v>
      </c>
      <c r="D5" s="1" t="s">
        <v>20</v>
      </c>
      <c r="E5" s="1" t="s">
        <v>26</v>
      </c>
      <c r="F5" s="1" t="s">
        <v>19</v>
      </c>
      <c r="M5">
        <v>8</v>
      </c>
      <c r="N5" t="s">
        <v>19</v>
      </c>
      <c r="O5" t="s">
        <v>17</v>
      </c>
      <c r="P5" t="s">
        <v>28</v>
      </c>
      <c r="Q5" t="s">
        <v>16</v>
      </c>
      <c r="R5" s="9">
        <f>LEFT(E5, LEN(E5)-1)*1000</f>
        <v>70000</v>
      </c>
      <c r="S5" s="10" t="str">
        <f>INDEX($W$5:$W$7, MATCH(R5, $V$5:$V$7, 1))</f>
        <v>70-120k</v>
      </c>
      <c r="V5">
        <v>70000</v>
      </c>
      <c r="W5" t="s">
        <v>38</v>
      </c>
    </row>
    <row r="6" spans="2:23" x14ac:dyDescent="0.35">
      <c r="B6" s="1">
        <v>9</v>
      </c>
      <c r="C6" s="1" t="s">
        <v>19</v>
      </c>
      <c r="D6" s="1" t="s">
        <v>20</v>
      </c>
      <c r="E6" s="1" t="s">
        <v>29</v>
      </c>
      <c r="F6" s="1" t="s">
        <v>19</v>
      </c>
      <c r="R6" s="9">
        <f>LEFT(E6, LEN(E6)-1)*1000</f>
        <v>75000</v>
      </c>
      <c r="S6" s="10" t="str">
        <f t="shared" ref="S6:S14" si="0">INDEX($W$5:$W$7, MATCH(R6, $V$5:$V$7, 1))</f>
        <v>70-120k</v>
      </c>
      <c r="V6">
        <v>120000</v>
      </c>
      <c r="W6" t="s">
        <v>39</v>
      </c>
    </row>
    <row r="7" spans="2:23" x14ac:dyDescent="0.35">
      <c r="B7" s="1">
        <v>3</v>
      </c>
      <c r="C7" s="1" t="s">
        <v>19</v>
      </c>
      <c r="D7" s="1" t="s">
        <v>17</v>
      </c>
      <c r="E7" s="1" t="s">
        <v>22</v>
      </c>
      <c r="F7" s="1" t="s">
        <v>19</v>
      </c>
      <c r="M7">
        <v>5</v>
      </c>
      <c r="N7" t="s">
        <v>19</v>
      </c>
      <c r="O7" t="s">
        <v>24</v>
      </c>
      <c r="P7" t="s">
        <v>25</v>
      </c>
      <c r="Q7" t="s">
        <v>16</v>
      </c>
      <c r="R7" s="9">
        <f>LEFT(E7, LEN(E7)-1)*1000</f>
        <v>80000</v>
      </c>
      <c r="S7" s="10" t="str">
        <f t="shared" si="0"/>
        <v>70-120k</v>
      </c>
      <c r="V7">
        <v>170000</v>
      </c>
      <c r="W7" t="s">
        <v>40</v>
      </c>
    </row>
    <row r="8" spans="2:23" x14ac:dyDescent="0.35">
      <c r="B8" s="1">
        <v>8</v>
      </c>
      <c r="C8" s="1" t="s">
        <v>19</v>
      </c>
      <c r="D8" s="1" t="s">
        <v>17</v>
      </c>
      <c r="E8" s="1" t="s">
        <v>28</v>
      </c>
      <c r="F8" s="1" t="s">
        <v>16</v>
      </c>
      <c r="M8">
        <v>10</v>
      </c>
      <c r="N8" t="s">
        <v>19</v>
      </c>
      <c r="O8" t="s">
        <v>17</v>
      </c>
      <c r="P8" t="s">
        <v>30</v>
      </c>
      <c r="Q8" t="s">
        <v>16</v>
      </c>
      <c r="R8" s="9">
        <f>LEFT(E8, LEN(E8)-1)*1000</f>
        <v>85000</v>
      </c>
      <c r="S8" s="10" t="str">
        <f t="shared" si="0"/>
        <v>70-120k</v>
      </c>
    </row>
    <row r="9" spans="2:23" x14ac:dyDescent="0.35">
      <c r="B9" s="1">
        <v>10</v>
      </c>
      <c r="C9" s="1" t="s">
        <v>19</v>
      </c>
      <c r="D9" s="1" t="s">
        <v>17</v>
      </c>
      <c r="E9" s="1" t="s">
        <v>30</v>
      </c>
      <c r="F9" s="1" t="s">
        <v>16</v>
      </c>
      <c r="R9" s="9">
        <f>LEFT(E9, LEN(E9)-1)*1000</f>
        <v>90000</v>
      </c>
      <c r="S9" s="10" t="str">
        <f t="shared" si="0"/>
        <v>70-120k</v>
      </c>
    </row>
    <row r="10" spans="2:23" x14ac:dyDescent="0.35">
      <c r="B10" s="1">
        <v>5</v>
      </c>
      <c r="C10" s="1" t="s">
        <v>19</v>
      </c>
      <c r="D10" s="1" t="s">
        <v>24</v>
      </c>
      <c r="E10" s="1" t="s">
        <v>25</v>
      </c>
      <c r="F10" s="1" t="s">
        <v>16</v>
      </c>
      <c r="M10">
        <v>7</v>
      </c>
      <c r="N10" t="s">
        <v>16</v>
      </c>
      <c r="O10" t="s">
        <v>24</v>
      </c>
      <c r="P10" t="s">
        <v>27</v>
      </c>
      <c r="Q10" t="s">
        <v>19</v>
      </c>
      <c r="R10" s="9">
        <f>LEFT(E10, LEN(E10)-1)*1000</f>
        <v>95000</v>
      </c>
      <c r="S10" s="10" t="str">
        <f t="shared" si="0"/>
        <v>70-120k</v>
      </c>
    </row>
    <row r="11" spans="2:23" x14ac:dyDescent="0.35">
      <c r="B11" s="1">
        <v>2</v>
      </c>
      <c r="C11" s="1" t="s">
        <v>19</v>
      </c>
      <c r="D11" s="1" t="s">
        <v>20</v>
      </c>
      <c r="E11" s="1" t="s">
        <v>21</v>
      </c>
      <c r="F11" s="1" t="s">
        <v>19</v>
      </c>
      <c r="M11">
        <v>4</v>
      </c>
      <c r="N11" t="s">
        <v>16</v>
      </c>
      <c r="O11" t="s">
        <v>20</v>
      </c>
      <c r="P11" t="s">
        <v>23</v>
      </c>
      <c r="Q11" t="s">
        <v>19</v>
      </c>
      <c r="R11" s="9">
        <f>LEFT(E11, LEN(E11)-1)*1000</f>
        <v>100000</v>
      </c>
      <c r="S11" s="10" t="str">
        <f t="shared" si="0"/>
        <v>70-120k</v>
      </c>
    </row>
    <row r="12" spans="2:23" x14ac:dyDescent="0.35">
      <c r="B12" s="1">
        <v>4</v>
      </c>
      <c r="C12" s="1" t="s">
        <v>16</v>
      </c>
      <c r="D12" s="1" t="s">
        <v>20</v>
      </c>
      <c r="E12" s="1" t="s">
        <v>23</v>
      </c>
      <c r="F12" s="1" t="s">
        <v>19</v>
      </c>
      <c r="M12">
        <v>6</v>
      </c>
      <c r="N12" t="s">
        <v>19</v>
      </c>
      <c r="O12" t="s">
        <v>20</v>
      </c>
      <c r="P12" t="s">
        <v>26</v>
      </c>
      <c r="Q12" t="s">
        <v>19</v>
      </c>
      <c r="R12" s="9">
        <f>LEFT(E12, LEN(E12)-1)*1000</f>
        <v>120000</v>
      </c>
      <c r="S12" s="10" t="str">
        <f t="shared" si="0"/>
        <v>120-170k</v>
      </c>
    </row>
    <row r="13" spans="2:23" x14ac:dyDescent="0.35">
      <c r="B13" s="1">
        <v>1</v>
      </c>
      <c r="C13" s="1" t="s">
        <v>16</v>
      </c>
      <c r="D13" s="1" t="s">
        <v>17</v>
      </c>
      <c r="E13" s="1" t="s">
        <v>18</v>
      </c>
      <c r="F13" s="1" t="s">
        <v>19</v>
      </c>
      <c r="M13">
        <v>3</v>
      </c>
      <c r="N13" t="s">
        <v>19</v>
      </c>
      <c r="O13" t="s">
        <v>17</v>
      </c>
      <c r="P13" t="s">
        <v>22</v>
      </c>
      <c r="Q13" t="s">
        <v>19</v>
      </c>
      <c r="R13" s="9">
        <f>LEFT(E13, LEN(E13)-1)*1000</f>
        <v>125000</v>
      </c>
      <c r="S13" s="10" t="str">
        <f t="shared" si="0"/>
        <v>120-170k</v>
      </c>
    </row>
    <row r="14" spans="2:23" x14ac:dyDescent="0.35">
      <c r="B14" s="1">
        <v>7</v>
      </c>
      <c r="C14" s="1" t="s">
        <v>16</v>
      </c>
      <c r="D14" s="1" t="s">
        <v>24</v>
      </c>
      <c r="E14" s="1" t="s">
        <v>27</v>
      </c>
      <c r="F14" s="1" t="s">
        <v>19</v>
      </c>
      <c r="M14">
        <v>9</v>
      </c>
      <c r="N14" t="s">
        <v>19</v>
      </c>
      <c r="O14" t="s">
        <v>20</v>
      </c>
      <c r="P14" t="s">
        <v>29</v>
      </c>
      <c r="Q14" t="s">
        <v>19</v>
      </c>
      <c r="R14" s="9">
        <f>LEFT(E14, LEN(E14)-1)*1000</f>
        <v>220000</v>
      </c>
      <c r="S14" s="10" t="str">
        <f t="shared" si="0"/>
        <v>170-220k</v>
      </c>
    </row>
    <row r="21" spans="3:4" x14ac:dyDescent="0.35">
      <c r="C21">
        <f>3/7</f>
        <v>0.42857142857142855</v>
      </c>
      <c r="D21">
        <f>C21^2</f>
        <v>0.18367346938775508</v>
      </c>
    </row>
    <row r="22" spans="3:4" x14ac:dyDescent="0.35">
      <c r="C22">
        <f>4/7</f>
        <v>0.5714285714285714</v>
      </c>
      <c r="D22">
        <f>C22^2</f>
        <v>0.32653061224489793</v>
      </c>
    </row>
    <row r="23" spans="3:4" x14ac:dyDescent="0.35">
      <c r="D23">
        <f>1-SUM(D21:D22)</f>
        <v>0.48979591836734704</v>
      </c>
    </row>
  </sheetData>
  <autoFilter ref="B4:R14" xr:uid="{4643C19F-FA16-419E-80E3-3BD88E726128}">
    <sortState xmlns:xlrd2="http://schemas.microsoft.com/office/spreadsheetml/2017/richdata2" ref="B5:R14">
      <sortCondition ref="R4:R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9C6A-18D0-4BFB-AC8F-3FFBE18FFA64}">
  <dimension ref="B2:C8"/>
  <sheetViews>
    <sheetView workbookViewId="0">
      <selection activeCell="C3" sqref="C3"/>
    </sheetView>
  </sheetViews>
  <sheetFormatPr defaultRowHeight="14.5" x14ac:dyDescent="0.35"/>
  <cols>
    <col min="2" max="2" width="10.7265625" bestFit="1" customWidth="1"/>
  </cols>
  <sheetData>
    <row r="2" spans="2:3" x14ac:dyDescent="0.35">
      <c r="B2" s="4" t="s">
        <v>45</v>
      </c>
      <c r="C2" s="5" t="s">
        <v>44</v>
      </c>
    </row>
    <row r="3" spans="2:3" x14ac:dyDescent="0.35">
      <c r="C3" s="2">
        <f>1-(3/7)^2-(4/7)^2</f>
        <v>0.48979591836734698</v>
      </c>
    </row>
    <row r="6" spans="2:3" x14ac:dyDescent="0.35">
      <c r="B6" s="4" t="s">
        <v>43</v>
      </c>
      <c r="C6" s="5" t="s">
        <v>44</v>
      </c>
    </row>
    <row r="7" spans="2:3" x14ac:dyDescent="0.35">
      <c r="B7" s="4" t="s">
        <v>19</v>
      </c>
      <c r="C7" s="1">
        <v>0</v>
      </c>
    </row>
    <row r="8" spans="2:3" x14ac:dyDescent="0.35">
      <c r="B8" s="4" t="s">
        <v>16</v>
      </c>
      <c r="C8" s="1">
        <f>1-(3/5)^2-(2/5)^2</f>
        <v>0.48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D74-C937-477B-B5BE-B50F734DAF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B</vt:lpstr>
      <vt:lpstr>Scenario D</vt:lpstr>
      <vt:lpstr>Scenario 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Chiu</dc:creator>
  <cp:lastModifiedBy>Wesley Chiu</cp:lastModifiedBy>
  <dcterms:created xsi:type="dcterms:W3CDTF">2022-11-26T16:01:33Z</dcterms:created>
  <dcterms:modified xsi:type="dcterms:W3CDTF">2022-11-26T17:11:53Z</dcterms:modified>
</cp:coreProperties>
</file>