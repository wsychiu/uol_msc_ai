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od22wc_leeds_ac_uk/Documents/OCOM5101M Data Science/Exercises/Unit 4/"/>
    </mc:Choice>
  </mc:AlternateContent>
  <xr:revisionPtr revIDLastSave="407" documentId="11_720867468DFDFA5E105F729E5D03188F1BFD5128" xr6:coauthVersionLast="47" xr6:coauthVersionMax="47" xr10:uidLastSave="{851F72EF-17A2-4F89-9361-23F4CBBC6359}"/>
  <bookViews>
    <workbookView xWindow="3495" yWindow="-21765" windowWidth="38730" windowHeight="21330" activeTab="1" xr2:uid="{00000000-000D-0000-FFFF-FFFF00000000}"/>
  </bookViews>
  <sheets>
    <sheet name="LR" sheetId="1" r:id="rId1"/>
    <sheet name="my attemp" sheetId="2" r:id="rId2"/>
  </sheets>
  <definedNames>
    <definedName name="eta">LR!$C$37</definedName>
    <definedName name="etaN">LR!$D$37</definedName>
    <definedName name="my_LS">'my attemp'!$I$37:$I$38</definedName>
    <definedName name="my_t">'my attemp'!$K$5:$K$14</definedName>
    <definedName name="my_X">'my attemp'!$I$5:$J$14</definedName>
    <definedName name="my_XT">'my attemp'!$I$27:$R$28</definedName>
    <definedName name="my_XTt">'my attemp'!$I$34:$I$35</definedName>
    <definedName name="my_XTX">'my attemp'!$I$30:$J$31</definedName>
    <definedName name="N">LR!$D$17</definedName>
    <definedName name="noise">LR!$B$10</definedName>
    <definedName name="noise_a">LR!$B$10</definedName>
    <definedName name="noise_m">LR!$B$12</definedName>
    <definedName name="t">LR!$G$8:$G$17</definedName>
    <definedName name="w">LR!$Y$38:$Y$39</definedName>
    <definedName name="w_d0">LR!$C$7</definedName>
    <definedName name="w_d1">LR!$C$8</definedName>
    <definedName name="w_GD">LR!$AI$38:$AI$39</definedName>
    <definedName name="X">LR!$E$8:$F$17</definedName>
    <definedName name="x0">LR!$E$8:$E$17</definedName>
    <definedName name="XT">LR!$E$24:$N$25</definedName>
    <definedName name="XTt">LR!$J$30:$J$31</definedName>
    <definedName name="XTX">LR!$E$27:$F$28</definedName>
    <definedName name="XTX1">LR!$E$30:$F$31</definedName>
    <definedName name="y_GD">LR!$I$8:$I$17</definedName>
    <definedName name="y_ls">LR!$H$8:$H$17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2" l="1"/>
  <c r="K13" i="2"/>
  <c r="K12" i="2"/>
  <c r="K11" i="2"/>
  <c r="K10" i="2"/>
  <c r="K9" i="2"/>
  <c r="K8" i="2"/>
  <c r="K7" i="2"/>
  <c r="K6" i="2"/>
  <c r="K5" i="2"/>
  <c r="F45" i="2"/>
  <c r="F46" i="2" s="1"/>
  <c r="G46" i="2" s="1"/>
  <c r="F5" i="2"/>
  <c r="E45" i="2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G44" i="2"/>
  <c r="I27" i="2" a="1"/>
  <c r="I27" i="2" s="1"/>
  <c r="I30" i="2" s="1" a="1"/>
  <c r="I30" i="2" s="1"/>
  <c r="AA9" i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B8" i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G8" i="1"/>
  <c r="G9" i="1"/>
  <c r="G10" i="1"/>
  <c r="G11" i="1"/>
  <c r="G12" i="1"/>
  <c r="G13" i="1"/>
  <c r="G14" i="1"/>
  <c r="G15" i="1"/>
  <c r="G16" i="1"/>
  <c r="G17" i="1"/>
  <c r="D37" i="1"/>
  <c r="E24" i="1" a="1"/>
  <c r="E24" i="1" s="1"/>
  <c r="G45" i="2" l="1"/>
  <c r="F47" i="2"/>
  <c r="E70" i="2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J44" i="2" a="1"/>
  <c r="J44" i="2" s="1"/>
  <c r="L44" i="2" s="1" a="1"/>
  <c r="L44" i="2" s="1"/>
  <c r="I34" i="2" a="1"/>
  <c r="I34" i="2" s="1"/>
  <c r="I37" i="2" s="1" a="1"/>
  <c r="I37" i="2" s="1"/>
  <c r="I25" i="1"/>
  <c r="I24" i="1"/>
  <c r="N25" i="1"/>
  <c r="H24" i="1"/>
  <c r="M25" i="1"/>
  <c r="E25" i="1"/>
  <c r="G24" i="1"/>
  <c r="J25" i="1"/>
  <c r="H25" i="1"/>
  <c r="J24" i="1"/>
  <c r="F25" i="1"/>
  <c r="L25" i="1"/>
  <c r="N24" i="1"/>
  <c r="F24" i="1"/>
  <c r="L24" i="1"/>
  <c r="K24" i="1"/>
  <c r="G25" i="1"/>
  <c r="K25" i="1"/>
  <c r="M24" i="1"/>
  <c r="L5" i="2" l="1" a="1"/>
  <c r="L5" i="2" s="1"/>
  <c r="N5" i="2" s="1" a="1"/>
  <c r="N5" i="2" s="1"/>
  <c r="N16" i="2" s="1"/>
  <c r="N17" i="2" s="1"/>
  <c r="L19" i="2" a="1"/>
  <c r="L19" i="2" s="1"/>
  <c r="F48" i="2"/>
  <c r="G47" i="2"/>
  <c r="I45" i="2"/>
  <c r="H45" i="2"/>
  <c r="E27" i="1" a="1"/>
  <c r="F49" i="2" l="1"/>
  <c r="G48" i="2"/>
  <c r="J45" i="2" a="1"/>
  <c r="E27" i="1"/>
  <c r="F27" i="1"/>
  <c r="F28" i="1"/>
  <c r="E28" i="1"/>
  <c r="F50" i="2" l="1"/>
  <c r="G49" i="2"/>
  <c r="I46" i="2"/>
  <c r="J45" i="2"/>
  <c r="L45" i="2" s="1" a="1"/>
  <c r="L45" i="2" s="1"/>
  <c r="E30" i="1" a="1"/>
  <c r="E30" i="1" s="1"/>
  <c r="G50" i="2" l="1"/>
  <c r="F51" i="2"/>
  <c r="H46" i="2"/>
  <c r="J46" i="2" s="1" a="1"/>
  <c r="E31" i="1"/>
  <c r="F30" i="1"/>
  <c r="F31" i="1"/>
  <c r="F52" i="2" l="1"/>
  <c r="G51" i="2"/>
  <c r="J46" i="2"/>
  <c r="L46" i="2" s="1" a="1"/>
  <c r="L46" i="2" s="1"/>
  <c r="I47" i="2"/>
  <c r="F32" i="1" a="1"/>
  <c r="F32" i="1" s="1"/>
  <c r="G38" i="1" a="1"/>
  <c r="G38" i="1" s="1"/>
  <c r="J30" i="1" a="1"/>
  <c r="J30" i="1" s="1"/>
  <c r="F53" i="2" l="1"/>
  <c r="G52" i="2"/>
  <c r="H47" i="2"/>
  <c r="J47" i="2" s="1" a="1"/>
  <c r="G39" i="1"/>
  <c r="H38" i="1" s="1" a="1"/>
  <c r="J31" i="1"/>
  <c r="P30" i="1" s="1" a="1"/>
  <c r="F33" i="1"/>
  <c r="H8" i="1" s="1" a="1"/>
  <c r="F54" i="2" l="1"/>
  <c r="G53" i="2"/>
  <c r="J47" i="2"/>
  <c r="L47" i="2" s="1" a="1"/>
  <c r="L47" i="2" s="1"/>
  <c r="I48" i="2"/>
  <c r="P30" i="1"/>
  <c r="P31" i="1"/>
  <c r="H38" i="1"/>
  <c r="H39" i="1"/>
  <c r="H15" i="1"/>
  <c r="H14" i="1"/>
  <c r="H13" i="1"/>
  <c r="H12" i="1"/>
  <c r="H16" i="1"/>
  <c r="H10" i="1"/>
  <c r="H9" i="1"/>
  <c r="H17" i="1"/>
  <c r="H11" i="1"/>
  <c r="H8" i="1"/>
  <c r="G54" i="2" l="1"/>
  <c r="F55" i="2"/>
  <c r="H48" i="2"/>
  <c r="J48" i="2" s="1" a="1"/>
  <c r="J8" i="1" a="1"/>
  <c r="J12" i="1" s="1"/>
  <c r="K8" i="1" a="1"/>
  <c r="H18" i="1"/>
  <c r="I38" i="1" a="1"/>
  <c r="I39" i="1" s="1"/>
  <c r="F56" i="2" l="1"/>
  <c r="G55" i="2"/>
  <c r="J48" i="2"/>
  <c r="L48" i="2" s="1" a="1"/>
  <c r="L48" i="2" s="1"/>
  <c r="I49" i="2"/>
  <c r="J10" i="1"/>
  <c r="L10" i="1" s="1"/>
  <c r="M10" i="1" s="1"/>
  <c r="J17" i="1"/>
  <c r="L17" i="1" s="1"/>
  <c r="M17" i="1" s="1"/>
  <c r="J9" i="1"/>
  <c r="L9" i="1" s="1"/>
  <c r="M9" i="1" s="1"/>
  <c r="J16" i="1"/>
  <c r="L16" i="1" s="1"/>
  <c r="M16" i="1" s="1"/>
  <c r="J14" i="1"/>
  <c r="L14" i="1" s="1"/>
  <c r="M14" i="1" s="1"/>
  <c r="J8" i="1"/>
  <c r="L8" i="1" s="1"/>
  <c r="M8" i="1" s="1"/>
  <c r="J13" i="1"/>
  <c r="L13" i="1" s="1"/>
  <c r="M13" i="1" s="1"/>
  <c r="J15" i="1"/>
  <c r="L15" i="1" s="1"/>
  <c r="M15" i="1" s="1"/>
  <c r="J11" i="1"/>
  <c r="L11" i="1" s="1"/>
  <c r="M11" i="1" s="1"/>
  <c r="K15" i="1"/>
  <c r="K9" i="1"/>
  <c r="K8" i="1"/>
  <c r="K16" i="1"/>
  <c r="K17" i="1"/>
  <c r="K10" i="1"/>
  <c r="K11" i="1"/>
  <c r="K14" i="1"/>
  <c r="K12" i="1"/>
  <c r="K13" i="1"/>
  <c r="L12" i="1"/>
  <c r="M12" i="1" s="1"/>
  <c r="I38" i="1"/>
  <c r="J38" i="1" s="1" a="1"/>
  <c r="J38" i="1" s="1"/>
  <c r="F57" i="2" l="1"/>
  <c r="G56" i="2"/>
  <c r="H49" i="2"/>
  <c r="J49" i="2" s="1" a="1"/>
  <c r="K18" i="1"/>
  <c r="J39" i="1"/>
  <c r="K38" i="1" s="1" a="1"/>
  <c r="K38" i="1" s="1"/>
  <c r="F58" i="2" l="1"/>
  <c r="G57" i="2"/>
  <c r="J49" i="2"/>
  <c r="L49" i="2" s="1" a="1"/>
  <c r="L49" i="2" s="1"/>
  <c r="I50" i="2"/>
  <c r="K39" i="1"/>
  <c r="L38" i="1" s="1" a="1"/>
  <c r="L38" i="1" s="1"/>
  <c r="G58" i="2" l="1"/>
  <c r="F59" i="2"/>
  <c r="H50" i="2"/>
  <c r="J50" i="2" s="1" a="1"/>
  <c r="L39" i="1"/>
  <c r="M38" i="1" s="1" a="1"/>
  <c r="M39" i="1" s="1"/>
  <c r="F60" i="2" l="1"/>
  <c r="G59" i="2"/>
  <c r="I51" i="2"/>
  <c r="J50" i="2"/>
  <c r="L50" i="2" s="1" a="1"/>
  <c r="L50" i="2" s="1"/>
  <c r="M38" i="1"/>
  <c r="N38" i="1" s="1" a="1"/>
  <c r="F61" i="2" l="1"/>
  <c r="G60" i="2"/>
  <c r="H51" i="2"/>
  <c r="J51" i="2" s="1" a="1"/>
  <c r="N38" i="1"/>
  <c r="N39" i="1"/>
  <c r="F62" i="2" l="1"/>
  <c r="G61" i="2"/>
  <c r="J51" i="2"/>
  <c r="L51" i="2" s="1" a="1"/>
  <c r="L51" i="2" s="1"/>
  <c r="I52" i="2"/>
  <c r="O38" i="1" a="1"/>
  <c r="G62" i="2" l="1"/>
  <c r="F63" i="2"/>
  <c r="H52" i="2"/>
  <c r="J52" i="2" s="1" a="1"/>
  <c r="O38" i="1"/>
  <c r="O39" i="1"/>
  <c r="F64" i="2" l="1"/>
  <c r="G63" i="2"/>
  <c r="J52" i="2"/>
  <c r="L52" i="2" s="1" a="1"/>
  <c r="L52" i="2" s="1"/>
  <c r="I53" i="2"/>
  <c r="P38" i="1" a="1"/>
  <c r="P39" i="1" s="1"/>
  <c r="F65" i="2" l="1"/>
  <c r="G64" i="2"/>
  <c r="H53" i="2"/>
  <c r="J53" i="2" s="1" a="1"/>
  <c r="P38" i="1"/>
  <c r="Q38" i="1" s="1" a="1"/>
  <c r="Q38" i="1" s="1"/>
  <c r="G65" i="2" l="1"/>
  <c r="F66" i="2"/>
  <c r="J53" i="2"/>
  <c r="L53" i="2" s="1" a="1"/>
  <c r="L53" i="2" s="1"/>
  <c r="I54" i="2"/>
  <c r="Q39" i="1"/>
  <c r="R38" i="1" s="1" a="1"/>
  <c r="G66" i="2" l="1"/>
  <c r="F67" i="2"/>
  <c r="H54" i="2"/>
  <c r="J54" i="2" s="1" a="1"/>
  <c r="R39" i="1"/>
  <c r="R38" i="1"/>
  <c r="G67" i="2" l="1"/>
  <c r="F68" i="2"/>
  <c r="J54" i="2"/>
  <c r="L54" i="2" s="1" a="1"/>
  <c r="L54" i="2" s="1"/>
  <c r="I55" i="2"/>
  <c r="S38" i="1" a="1"/>
  <c r="S39" i="1" s="1"/>
  <c r="F69" i="2" l="1"/>
  <c r="G68" i="2"/>
  <c r="H55" i="2"/>
  <c r="J55" i="2" s="1" a="1"/>
  <c r="S38" i="1"/>
  <c r="T38" i="1" s="1" a="1"/>
  <c r="T39" i="1" s="1"/>
  <c r="F70" i="2" l="1"/>
  <c r="G69" i="2"/>
  <c r="I56" i="2"/>
  <c r="J55" i="2"/>
  <c r="L55" i="2" s="1" a="1"/>
  <c r="L55" i="2" s="1"/>
  <c r="T38" i="1"/>
  <c r="U38" i="1" s="1" a="1"/>
  <c r="U39" i="1" s="1"/>
  <c r="G70" i="2" l="1"/>
  <c r="F71" i="2"/>
  <c r="H56" i="2"/>
  <c r="J56" i="2" s="1" a="1"/>
  <c r="U38" i="1"/>
  <c r="V38" i="1" s="1" a="1"/>
  <c r="F72" i="2" l="1"/>
  <c r="G71" i="2"/>
  <c r="J56" i="2"/>
  <c r="L56" i="2" s="1" a="1"/>
  <c r="L56" i="2" s="1"/>
  <c r="I57" i="2"/>
  <c r="V38" i="1"/>
  <c r="V39" i="1"/>
  <c r="F73" i="2" l="1"/>
  <c r="G72" i="2"/>
  <c r="H57" i="2"/>
  <c r="J57" i="2" s="1" a="1"/>
  <c r="W38" i="1" a="1"/>
  <c r="W39" i="1" s="1"/>
  <c r="F74" i="2" l="1"/>
  <c r="G73" i="2"/>
  <c r="J57" i="2"/>
  <c r="L57" i="2" s="1" a="1"/>
  <c r="L57" i="2" s="1"/>
  <c r="I58" i="2"/>
  <c r="W38" i="1"/>
  <c r="X38" i="1" s="1" a="1"/>
  <c r="X38" i="1" s="1"/>
  <c r="G74" i="2" l="1"/>
  <c r="F75" i="2"/>
  <c r="H58" i="2"/>
  <c r="J58" i="2" s="1" a="1"/>
  <c r="X39" i="1"/>
  <c r="Y38" i="1" s="1" a="1"/>
  <c r="G75" i="2" l="1"/>
  <c r="F76" i="2"/>
  <c r="J58" i="2"/>
  <c r="L58" i="2" s="1" a="1"/>
  <c r="L58" i="2" s="1"/>
  <c r="I59" i="2"/>
  <c r="Y38" i="1"/>
  <c r="Y39" i="1"/>
  <c r="F77" i="2" l="1"/>
  <c r="G76" i="2"/>
  <c r="H59" i="2"/>
  <c r="J59" i="2" s="1" a="1"/>
  <c r="Z38" i="1" a="1"/>
  <c r="G77" i="2" l="1"/>
  <c r="F78" i="2"/>
  <c r="I60" i="2"/>
  <c r="J59" i="2"/>
  <c r="L59" i="2" s="1" a="1"/>
  <c r="L59" i="2" s="1"/>
  <c r="Z39" i="1"/>
  <c r="Z38" i="1"/>
  <c r="G78" i="2" l="1"/>
  <c r="F79" i="2"/>
  <c r="H60" i="2"/>
  <c r="J60" i="2" s="1" a="1"/>
  <c r="AA38" i="1" a="1"/>
  <c r="AA38" i="1" s="1"/>
  <c r="F80" i="2" l="1"/>
  <c r="G79" i="2"/>
  <c r="J60" i="2"/>
  <c r="L60" i="2" s="1" a="1"/>
  <c r="L60" i="2" s="1"/>
  <c r="I61" i="2"/>
  <c r="AA39" i="1"/>
  <c r="AB38" i="1" s="1" a="1"/>
  <c r="F81" i="2" l="1"/>
  <c r="G80" i="2"/>
  <c r="H61" i="2"/>
  <c r="J61" i="2" s="1" a="1"/>
  <c r="AB38" i="1"/>
  <c r="AB39" i="1"/>
  <c r="F82" i="2" l="1"/>
  <c r="G81" i="2"/>
  <c r="I62" i="2"/>
  <c r="J61" i="2"/>
  <c r="L61" i="2" s="1" a="1"/>
  <c r="L61" i="2" s="1"/>
  <c r="AC38" i="1" a="1"/>
  <c r="AC39" i="1" s="1"/>
  <c r="G82" i="2" l="1"/>
  <c r="F83" i="2"/>
  <c r="H62" i="2"/>
  <c r="J62" i="2" s="1" a="1"/>
  <c r="AC38" i="1"/>
  <c r="AD38" i="1" s="1" a="1"/>
  <c r="AD38" i="1" s="1"/>
  <c r="F84" i="2" l="1"/>
  <c r="G83" i="2"/>
  <c r="J62" i="2"/>
  <c r="L62" i="2" s="1" a="1"/>
  <c r="L62" i="2" s="1"/>
  <c r="I63" i="2"/>
  <c r="AD39" i="1"/>
  <c r="AE38" i="1" s="1" a="1"/>
  <c r="AE39" i="1" s="1"/>
  <c r="F85" i="2" l="1"/>
  <c r="G85" i="2" s="1"/>
  <c r="G84" i="2"/>
  <c r="H63" i="2"/>
  <c r="J63" i="2" s="1" a="1"/>
  <c r="I64" i="2" s="1"/>
  <c r="AE38" i="1"/>
  <c r="AF38" i="1" s="1" a="1"/>
  <c r="AF38" i="1" s="1"/>
  <c r="J63" i="2" l="1"/>
  <c r="AF39" i="1"/>
  <c r="AG38" i="1" s="1" a="1"/>
  <c r="AG38" i="1" s="1"/>
  <c r="H64" i="2" l="1"/>
  <c r="J64" i="2" s="1" a="1"/>
  <c r="J64" i="2" s="1"/>
  <c r="L64" i="2" s="1" a="1"/>
  <c r="L64" i="2" s="1"/>
  <c r="L63" i="2" a="1"/>
  <c r="L63" i="2" s="1"/>
  <c r="AG39" i="1"/>
  <c r="AH38" i="1" s="1" a="1"/>
  <c r="I65" i="2" l="1"/>
  <c r="H65" i="2"/>
  <c r="J65" i="2" s="1" a="1"/>
  <c r="AH39" i="1"/>
  <c r="AH38" i="1"/>
  <c r="J65" i="2" l="1"/>
  <c r="L65" i="2" s="1" a="1"/>
  <c r="L65" i="2" s="1"/>
  <c r="I66" i="2"/>
  <c r="AI38" i="1" a="1"/>
  <c r="AI38" i="1" s="1"/>
  <c r="H66" i="2" l="1"/>
  <c r="J66" i="2" s="1" a="1"/>
  <c r="AI39" i="1"/>
  <c r="AJ38" i="1" s="1" a="1"/>
  <c r="AJ39" i="1" s="1"/>
  <c r="J66" i="2" l="1"/>
  <c r="L66" i="2" s="1" a="1"/>
  <c r="L66" i="2" s="1"/>
  <c r="I67" i="2"/>
  <c r="AJ38" i="1"/>
  <c r="AK38" i="1" s="1" a="1"/>
  <c r="AK38" i="1" s="1"/>
  <c r="H67" i="2" l="1"/>
  <c r="J67" i="2" s="1" a="1"/>
  <c r="AK39" i="1"/>
  <c r="AL38" i="1" s="1" a="1"/>
  <c r="AL39" i="1" s="1"/>
  <c r="J67" i="2" l="1"/>
  <c r="L67" i="2" s="1" a="1"/>
  <c r="L67" i="2" s="1"/>
  <c r="I68" i="2"/>
  <c r="AL38" i="1"/>
  <c r="AM38" i="1" s="1" a="1"/>
  <c r="AM38" i="1" s="1"/>
  <c r="H68" i="2" l="1"/>
  <c r="J68" i="2" s="1" a="1"/>
  <c r="AM39" i="1"/>
  <c r="AN38" i="1" s="1" a="1"/>
  <c r="J68" i="2" l="1"/>
  <c r="L68" i="2" s="1" a="1"/>
  <c r="L68" i="2" s="1"/>
  <c r="I69" i="2"/>
  <c r="AN39" i="1"/>
  <c r="AN38" i="1"/>
  <c r="H69" i="2" l="1"/>
  <c r="J69" i="2" s="1" a="1"/>
  <c r="AO38" i="1" a="1"/>
  <c r="AO38" i="1" s="1"/>
  <c r="J69" i="2" l="1"/>
  <c r="L69" i="2" s="1" a="1"/>
  <c r="L69" i="2" s="1"/>
  <c r="I70" i="2"/>
  <c r="AO39" i="1"/>
  <c r="AP38" i="1" s="1" a="1"/>
  <c r="AP38" i="1" s="1"/>
  <c r="H70" i="2" l="1"/>
  <c r="J70" i="2" s="1" a="1"/>
  <c r="AP39" i="1"/>
  <c r="AQ38" i="1" s="1" a="1"/>
  <c r="J70" i="2" l="1"/>
  <c r="L70" i="2" s="1" a="1"/>
  <c r="L70" i="2" s="1"/>
  <c r="I71" i="2"/>
  <c r="AQ39" i="1"/>
  <c r="AQ38" i="1"/>
  <c r="H71" i="2" l="1"/>
  <c r="J71" i="2" s="1" a="1"/>
  <c r="AR38" i="1" a="1"/>
  <c r="AR38" i="1" s="1"/>
  <c r="J71" i="2" l="1"/>
  <c r="L71" i="2" s="1" a="1"/>
  <c r="L71" i="2" s="1"/>
  <c r="I72" i="2"/>
  <c r="AR39" i="1"/>
  <c r="AS38" i="1" s="1" a="1"/>
  <c r="AS38" i="1" s="1"/>
  <c r="H72" i="2" l="1"/>
  <c r="J72" i="2" s="1" a="1"/>
  <c r="AS39" i="1"/>
  <c r="J72" i="2" l="1"/>
  <c r="L72" i="2" s="1" a="1"/>
  <c r="L72" i="2" s="1"/>
  <c r="I73" i="2"/>
  <c r="I8" i="1" a="1"/>
  <c r="I13" i="1" s="1"/>
  <c r="H73" i="2" l="1"/>
  <c r="J73" i="2" s="1" a="1"/>
  <c r="I11" i="1"/>
  <c r="I10" i="1"/>
  <c r="I17" i="1"/>
  <c r="I14" i="1"/>
  <c r="I9" i="1"/>
  <c r="I16" i="1"/>
  <c r="I15" i="1"/>
  <c r="I8" i="1"/>
  <c r="I12" i="1"/>
  <c r="J73" i="2" l="1"/>
  <c r="L73" i="2" s="1" a="1"/>
  <c r="L73" i="2" s="1"/>
  <c r="I74" i="2"/>
  <c r="I18" i="1"/>
  <c r="H74" i="2" l="1"/>
  <c r="J74" i="2" s="1" a="1"/>
  <c r="J74" i="2" l="1"/>
  <c r="L74" i="2" s="1" a="1"/>
  <c r="L74" i="2" s="1"/>
  <c r="I75" i="2"/>
  <c r="H75" i="2" l="1"/>
  <c r="J75" i="2" s="1" a="1"/>
  <c r="J75" i="2" l="1"/>
  <c r="L75" i="2" s="1" a="1"/>
  <c r="L75" i="2" s="1"/>
  <c r="I76" i="2"/>
  <c r="H76" i="2" l="1"/>
  <c r="J76" i="2" s="1" a="1"/>
  <c r="J76" i="2" l="1"/>
  <c r="L76" i="2" s="1" a="1"/>
  <c r="L76" i="2" s="1"/>
  <c r="I77" i="2"/>
  <c r="H77" i="2" l="1"/>
  <c r="J77" i="2" s="1" a="1"/>
  <c r="J77" i="2" l="1"/>
  <c r="L77" i="2" s="1" a="1"/>
  <c r="L77" i="2" s="1"/>
  <c r="I78" i="2"/>
  <c r="H78" i="2" l="1"/>
  <c r="J78" i="2" s="1" a="1"/>
  <c r="J78" i="2" l="1"/>
  <c r="L78" i="2" s="1" a="1"/>
  <c r="L78" i="2" s="1"/>
  <c r="I79" i="2"/>
  <c r="H79" i="2" l="1"/>
  <c r="J79" i="2" s="1" a="1"/>
  <c r="J79" i="2" l="1"/>
  <c r="L79" i="2" s="1" a="1"/>
  <c r="L79" i="2" s="1"/>
  <c r="I80" i="2"/>
  <c r="H80" i="2" l="1"/>
  <c r="J80" i="2" s="1" a="1"/>
  <c r="J80" i="2" l="1"/>
  <c r="L80" i="2" s="1" a="1"/>
  <c r="L80" i="2" s="1"/>
  <c r="I81" i="2"/>
  <c r="H81" i="2" l="1"/>
  <c r="J81" i="2" s="1" a="1"/>
  <c r="J81" i="2" l="1"/>
  <c r="L81" i="2" s="1" a="1"/>
  <c r="L81" i="2" s="1"/>
  <c r="I82" i="2"/>
  <c r="H82" i="2" l="1"/>
  <c r="J82" i="2" s="1" a="1"/>
  <c r="J82" i="2" l="1"/>
  <c r="L82" i="2" s="1" a="1"/>
  <c r="L82" i="2" s="1"/>
  <c r="I83" i="2"/>
  <c r="H83" i="2" l="1"/>
  <c r="J83" i="2" s="1" a="1"/>
  <c r="J83" i="2" l="1"/>
  <c r="L83" i="2" s="1" a="1"/>
  <c r="L83" i="2" s="1"/>
  <c r="I84" i="2"/>
  <c r="H84" i="2" l="1"/>
  <c r="J84" i="2" s="1" a="1"/>
  <c r="P44" i="2" s="1"/>
  <c r="J84" i="2" l="1"/>
  <c r="I85" i="2"/>
  <c r="O44" i="2" l="1"/>
  <c r="M19" i="2" s="1" a="1"/>
  <c r="M19" i="2" s="1"/>
  <c r="M5" i="2" s="1" a="1"/>
  <c r="M5" i="2" s="1"/>
  <c r="L84" i="2" a="1"/>
  <c r="L84" i="2" s="1"/>
  <c r="H85" i="2"/>
  <c r="J85" i="2" s="1" a="1"/>
  <c r="J85" i="2" l="1"/>
  <c r="L85" i="2" s="1" a="1"/>
  <c r="L85" i="2" s="1"/>
  <c r="O5" i="2" l="1" a="1"/>
  <c r="O5" i="2" s="1"/>
  <c r="O16" i="2" s="1"/>
  <c r="O1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<sst xmlns="http://schemas.openxmlformats.org/spreadsheetml/2006/main" count="78" uniqueCount="54">
  <si>
    <t>Univariate Regression</t>
  </si>
  <si>
    <t>X</t>
  </si>
  <si>
    <t>t</t>
  </si>
  <si>
    <r>
      <rPr>
        <i/>
        <sz val="20"/>
        <color theme="1"/>
        <rFont val="Palatino Linotype"/>
        <family val="1"/>
      </rPr>
      <t>x</t>
    </r>
    <r>
      <rPr>
        <vertAlign val="subscript"/>
        <sz val="20"/>
        <color theme="1"/>
        <rFont val="Palatino Linotype"/>
        <family val="1"/>
      </rPr>
      <t>0</t>
    </r>
  </si>
  <si>
    <r>
      <rPr>
        <i/>
        <sz val="20"/>
        <color theme="1"/>
        <rFont val="Palatino Linotype"/>
        <family val="1"/>
      </rPr>
      <t>x</t>
    </r>
    <r>
      <rPr>
        <vertAlign val="subscript"/>
        <sz val="20"/>
        <color theme="1"/>
        <rFont val="Palatino Linotype"/>
        <family val="1"/>
      </rPr>
      <t>1</t>
    </r>
  </si>
  <si>
    <t>Comprehensive LR Example</t>
  </si>
  <si>
    <r>
      <t>Least Squares             w</t>
    </r>
    <r>
      <rPr>
        <sz val="22"/>
        <color theme="1"/>
        <rFont val="Palatino Linotype"/>
        <family val="1"/>
      </rPr>
      <t>*=(</t>
    </r>
    <r>
      <rPr>
        <b/>
        <sz val="22"/>
        <color theme="1"/>
        <rFont val="Palatino Linotype"/>
        <family val="1"/>
      </rPr>
      <t>X</t>
    </r>
    <r>
      <rPr>
        <vertAlign val="superscript"/>
        <sz val="22"/>
        <color theme="1"/>
        <rFont val="Palatino Linotype"/>
        <family val="1"/>
      </rPr>
      <t>⊤</t>
    </r>
    <r>
      <rPr>
        <b/>
        <sz val="22"/>
        <color theme="1"/>
        <rFont val="Palatino Linotype"/>
        <family val="1"/>
      </rPr>
      <t>X</t>
    </r>
    <r>
      <rPr>
        <sz val="22"/>
        <color theme="1"/>
        <rFont val="Palatino Linotype"/>
        <family val="1"/>
      </rPr>
      <t>)</t>
    </r>
    <r>
      <rPr>
        <vertAlign val="superscript"/>
        <sz val="22"/>
        <color theme="1"/>
        <rFont val="Palatino Linotype"/>
        <family val="1"/>
      </rPr>
      <t>-1</t>
    </r>
    <r>
      <rPr>
        <sz val="22"/>
        <color theme="1"/>
        <rFont val="Palatino Linotype"/>
        <family val="1"/>
      </rPr>
      <t>(</t>
    </r>
    <r>
      <rPr>
        <b/>
        <sz val="22"/>
        <color theme="1"/>
        <rFont val="Palatino Linotype"/>
        <family val="1"/>
      </rPr>
      <t>X</t>
    </r>
    <r>
      <rPr>
        <b/>
        <vertAlign val="superscript"/>
        <sz val="22"/>
        <color theme="1"/>
        <rFont val="Palatino Linotype"/>
        <family val="1"/>
      </rPr>
      <t>T</t>
    </r>
    <r>
      <rPr>
        <b/>
        <sz val="22"/>
        <color theme="1"/>
        <rFont val="Palatino Linotype"/>
        <family val="1"/>
      </rPr>
      <t>t</t>
    </r>
    <r>
      <rPr>
        <sz val="22"/>
        <color theme="1"/>
        <rFont val="Palatino Linotype"/>
        <family val="1"/>
      </rPr>
      <t>)</t>
    </r>
  </si>
  <si>
    <r>
      <rPr>
        <sz val="22"/>
        <color theme="1"/>
        <rFont val="Palatino Linotype"/>
        <family val="1"/>
      </rPr>
      <t>(</t>
    </r>
    <r>
      <rPr>
        <b/>
        <sz val="22"/>
        <color theme="1"/>
        <rFont val="Palatino Linotype"/>
        <family val="1"/>
      </rPr>
      <t>X</t>
    </r>
    <r>
      <rPr>
        <vertAlign val="superscript"/>
        <sz val="22"/>
        <color theme="1"/>
        <rFont val="Palatino Linotype"/>
        <family val="1"/>
      </rPr>
      <t>⊤</t>
    </r>
    <r>
      <rPr>
        <b/>
        <sz val="22"/>
        <color theme="1"/>
        <rFont val="Palatino Linotype"/>
        <family val="1"/>
      </rPr>
      <t>X</t>
    </r>
    <r>
      <rPr>
        <sz val="22"/>
        <color theme="1"/>
        <rFont val="Palatino Linotype"/>
        <family val="1"/>
      </rPr>
      <t>)</t>
    </r>
    <r>
      <rPr>
        <vertAlign val="superscript"/>
        <sz val="22"/>
        <color theme="1"/>
        <rFont val="Palatino Linotype"/>
        <family val="1"/>
      </rPr>
      <t>-1</t>
    </r>
    <r>
      <rPr>
        <b/>
        <sz val="22"/>
        <color theme="1"/>
        <rFont val="Palatino Linotype"/>
        <family val="1"/>
      </rPr>
      <t/>
    </r>
  </si>
  <si>
    <r>
      <t>w</t>
    </r>
    <r>
      <rPr>
        <sz val="20"/>
        <color theme="1"/>
        <rFont val="Palatino Linotype"/>
        <family val="1"/>
      </rPr>
      <t>*=(</t>
    </r>
    <r>
      <rPr>
        <b/>
        <sz val="20"/>
        <color theme="1"/>
        <rFont val="Palatino Linotype"/>
        <family val="1"/>
      </rPr>
      <t>X</t>
    </r>
    <r>
      <rPr>
        <vertAlign val="superscript"/>
        <sz val="20"/>
        <color theme="1"/>
        <rFont val="Palatino Linotype"/>
        <family val="1"/>
      </rPr>
      <t>⊤</t>
    </r>
    <r>
      <rPr>
        <b/>
        <sz val="20"/>
        <color theme="1"/>
        <rFont val="Palatino Linotype"/>
        <family val="1"/>
      </rPr>
      <t>X</t>
    </r>
    <r>
      <rPr>
        <sz val="20"/>
        <color theme="1"/>
        <rFont val="Palatino Linotype"/>
        <family val="1"/>
      </rPr>
      <t>)</t>
    </r>
    <r>
      <rPr>
        <vertAlign val="superscript"/>
        <sz val="20"/>
        <color theme="1"/>
        <rFont val="Palatino Linotype"/>
        <family val="1"/>
      </rPr>
      <t>-1</t>
    </r>
    <r>
      <rPr>
        <b/>
        <sz val="20"/>
        <color theme="1"/>
        <rFont val="Palatino Linotype"/>
        <family val="1"/>
      </rPr>
      <t>X</t>
    </r>
    <r>
      <rPr>
        <vertAlign val="superscript"/>
        <sz val="20"/>
        <color theme="1"/>
        <rFont val="Palatino Linotype"/>
        <family val="1"/>
      </rPr>
      <t>⊤</t>
    </r>
    <r>
      <rPr>
        <b/>
        <sz val="20"/>
        <color theme="1"/>
        <rFont val="Palatino Linotype"/>
        <family val="1"/>
      </rPr>
      <t>t</t>
    </r>
  </si>
  <si>
    <r>
      <t>X</t>
    </r>
    <r>
      <rPr>
        <vertAlign val="superscript"/>
        <sz val="20"/>
        <color theme="1"/>
        <rFont val="Palatino Linotype"/>
        <family val="1"/>
      </rPr>
      <t>⊤</t>
    </r>
    <r>
      <rPr>
        <b/>
        <sz val="20"/>
        <color theme="1"/>
        <rFont val="Palatino Linotype"/>
        <family val="1"/>
      </rPr>
      <t>X</t>
    </r>
  </si>
  <si>
    <r>
      <t>X</t>
    </r>
    <r>
      <rPr>
        <vertAlign val="superscript"/>
        <sz val="20"/>
        <color theme="1"/>
        <rFont val="Palatino Linotype"/>
        <family val="1"/>
      </rPr>
      <t>⊤</t>
    </r>
  </si>
  <si>
    <r>
      <t>X</t>
    </r>
    <r>
      <rPr>
        <vertAlign val="superscript"/>
        <sz val="22"/>
        <color theme="1"/>
        <rFont val="Palatino Linotype"/>
        <family val="1"/>
      </rPr>
      <t>⊤</t>
    </r>
    <r>
      <rPr>
        <b/>
        <sz val="22"/>
        <color theme="1"/>
        <rFont val="Palatino Linotype"/>
        <family val="1"/>
      </rPr>
      <t>t</t>
    </r>
  </si>
  <si>
    <t>η</t>
  </si>
  <si>
    <t>Loss</t>
  </si>
  <si>
    <r>
      <t>w</t>
    </r>
    <r>
      <rPr>
        <i/>
        <vertAlign val="subscript"/>
        <sz val="20"/>
        <color theme="1"/>
        <rFont val="Palatino Linotype"/>
        <family val="1"/>
      </rPr>
      <t>0</t>
    </r>
  </si>
  <si>
    <r>
      <t>w</t>
    </r>
    <r>
      <rPr>
        <i/>
        <vertAlign val="subscript"/>
        <sz val="20"/>
        <color theme="1"/>
        <rFont val="Palatino Linotype"/>
        <family val="1"/>
      </rPr>
      <t>1</t>
    </r>
  </si>
  <si>
    <r>
      <rPr>
        <b/>
        <sz val="24"/>
        <color theme="1"/>
        <rFont val="Palatino Linotype"/>
        <family val="1"/>
      </rPr>
      <t>w</t>
    </r>
    <r>
      <rPr>
        <b/>
        <vertAlign val="subscript"/>
        <sz val="16"/>
        <color theme="1"/>
        <rFont val="Palatino Linotype"/>
        <family val="1"/>
      </rPr>
      <t>GD</t>
    </r>
  </si>
  <si>
    <r>
      <rPr>
        <b/>
        <sz val="24"/>
        <color theme="1"/>
        <rFont val="Palatino Linotype"/>
        <family val="1"/>
      </rPr>
      <t>w</t>
    </r>
    <r>
      <rPr>
        <sz val="20"/>
        <color theme="1"/>
        <rFont val="Palatino Linotype"/>
        <family val="1"/>
      </rPr>
      <t>*</t>
    </r>
  </si>
  <si>
    <r>
      <t>η/</t>
    </r>
    <r>
      <rPr>
        <vertAlign val="subscript"/>
        <sz val="22"/>
        <color theme="1"/>
        <rFont val="Palatino Linotype"/>
        <family val="1"/>
      </rPr>
      <t>N</t>
    </r>
  </si>
  <si>
    <r>
      <t xml:space="preserve">Batch Gradient Descent             w </t>
    </r>
    <r>
      <rPr>
        <sz val="22"/>
        <color theme="1"/>
        <rFont val="Palatino Linotype"/>
        <family val="1"/>
      </rPr>
      <t xml:space="preserve">= </t>
    </r>
    <r>
      <rPr>
        <b/>
        <sz val="22"/>
        <color theme="1"/>
        <rFont val="Palatino Linotype"/>
        <family val="1"/>
      </rPr>
      <t xml:space="preserve">w </t>
    </r>
    <r>
      <rPr>
        <sz val="22"/>
        <color theme="1"/>
        <rFont val="Palatino Linotype"/>
        <family val="1"/>
      </rPr>
      <t>+ (</t>
    </r>
    <r>
      <rPr>
        <sz val="20"/>
        <color theme="1"/>
        <rFont val="Palatino Linotype"/>
        <family val="1"/>
      </rPr>
      <t>η</t>
    </r>
    <r>
      <rPr>
        <sz val="22"/>
        <color theme="1"/>
        <rFont val="Palatino Linotype"/>
        <family val="1"/>
      </rPr>
      <t>/</t>
    </r>
    <r>
      <rPr>
        <sz val="15"/>
        <color theme="1"/>
        <rFont val="Palatino Linotype"/>
        <family val="1"/>
      </rPr>
      <t>N</t>
    </r>
    <r>
      <rPr>
        <sz val="22"/>
        <color theme="1"/>
        <rFont val="Palatino Linotype"/>
        <family val="1"/>
      </rPr>
      <t xml:space="preserve">) </t>
    </r>
    <r>
      <rPr>
        <b/>
        <sz val="22"/>
        <color theme="1"/>
        <rFont val="Palatino Linotype"/>
        <family val="1"/>
      </rPr>
      <t>X</t>
    </r>
    <r>
      <rPr>
        <vertAlign val="superscript"/>
        <sz val="22"/>
        <color theme="1"/>
        <rFont val="Palatino Linotype"/>
        <family val="1"/>
      </rPr>
      <t>⊤</t>
    </r>
    <r>
      <rPr>
        <sz val="22"/>
        <color theme="1"/>
        <rFont val="Palatino Linotype"/>
        <family val="1"/>
      </rPr>
      <t>(</t>
    </r>
    <r>
      <rPr>
        <b/>
        <sz val="22"/>
        <color theme="1"/>
        <rFont val="Palatino Linotype"/>
        <family val="1"/>
      </rPr>
      <t xml:space="preserve">t </t>
    </r>
    <r>
      <rPr>
        <sz val="22"/>
        <color theme="1"/>
        <rFont val="Palatino Linotype"/>
        <family val="1"/>
      </rPr>
      <t xml:space="preserve">- </t>
    </r>
    <r>
      <rPr>
        <b/>
        <sz val="22"/>
        <color theme="1"/>
        <rFont val="Palatino Linotype"/>
        <family val="1"/>
      </rPr>
      <t>Xw</t>
    </r>
    <r>
      <rPr>
        <sz val="22"/>
        <color theme="1"/>
        <rFont val="Palatino Linotype"/>
        <family val="1"/>
      </rPr>
      <t>)</t>
    </r>
  </si>
  <si>
    <r>
      <t>y</t>
    </r>
    <r>
      <rPr>
        <i/>
        <vertAlign val="subscript"/>
        <sz val="20"/>
        <color theme="1"/>
        <rFont val="Palatino Linotype"/>
        <family val="1"/>
      </rPr>
      <t>ls</t>
    </r>
  </si>
  <si>
    <r>
      <t>y</t>
    </r>
    <r>
      <rPr>
        <vertAlign val="subscript"/>
        <sz val="10"/>
        <color theme="1"/>
        <rFont val="Arial"/>
        <family val="2"/>
      </rPr>
      <t>GD</t>
    </r>
  </si>
  <si>
    <t>early stopping when w0 and w1 are not changing is useful when we have a propper programming language</t>
  </si>
  <si>
    <r>
      <t>w</t>
    </r>
    <r>
      <rPr>
        <b/>
        <vertAlign val="subscript"/>
        <sz val="18"/>
        <color theme="1"/>
        <rFont val="Palatino Linotype"/>
        <family val="1"/>
      </rPr>
      <t>Data</t>
    </r>
  </si>
  <si>
    <t>Noise</t>
  </si>
  <si>
    <r>
      <t>J</t>
    </r>
    <r>
      <rPr>
        <i/>
        <vertAlign val="subscript"/>
        <sz val="20"/>
        <color theme="1"/>
        <rFont val="Palatino Linotype"/>
        <family val="1"/>
      </rPr>
      <t>n,ls</t>
    </r>
  </si>
  <si>
    <r>
      <t>J</t>
    </r>
    <r>
      <rPr>
        <i/>
        <vertAlign val="superscript"/>
        <sz val="20"/>
        <color theme="1"/>
        <rFont val="Palatino Linotype"/>
        <family val="1"/>
      </rPr>
      <t>2</t>
    </r>
    <r>
      <rPr>
        <i/>
        <vertAlign val="subscript"/>
        <sz val="20"/>
        <color theme="1"/>
        <rFont val="Palatino Linotype"/>
        <family val="1"/>
      </rPr>
      <t>n,ls</t>
    </r>
  </si>
  <si>
    <r>
      <t>w</t>
    </r>
    <r>
      <rPr>
        <i/>
        <vertAlign val="subscript"/>
        <sz val="14"/>
        <color theme="1"/>
        <rFont val="Lucida Bright"/>
        <family val="1"/>
      </rPr>
      <t>1</t>
    </r>
    <r>
      <rPr>
        <i/>
        <sz val="14"/>
        <color theme="1"/>
        <rFont val="Lucida Bright"/>
        <family val="1"/>
      </rPr>
      <t>\w</t>
    </r>
    <r>
      <rPr>
        <i/>
        <vertAlign val="subscript"/>
        <sz val="14"/>
        <color theme="1"/>
        <rFont val="Lucida Bright"/>
        <family val="1"/>
      </rPr>
      <t>0</t>
    </r>
  </si>
  <si>
    <r>
      <rPr>
        <i/>
        <sz val="20"/>
        <color theme="1"/>
        <rFont val="Palatino Linotype"/>
        <family val="1"/>
      </rPr>
      <t>x</t>
    </r>
    <r>
      <rPr>
        <vertAlign val="subscript"/>
        <sz val="20"/>
        <color theme="1"/>
        <rFont val="Palatino Linotype"/>
        <family val="1"/>
      </rPr>
      <t>n</t>
    </r>
  </si>
  <si>
    <t>Least Squares             w*=(X⊤X)-1(XTt)</t>
  </si>
  <si>
    <t xml:space="preserve">XTX = </t>
  </si>
  <si>
    <t>XTt =</t>
  </si>
  <si>
    <t xml:space="preserve">XT = </t>
  </si>
  <si>
    <t>LS =</t>
  </si>
  <si>
    <t>w0</t>
  </si>
  <si>
    <t>w1</t>
  </si>
  <si>
    <t>n</t>
  </si>
  <si>
    <r>
      <rPr>
        <i/>
        <sz val="20"/>
        <color theme="1"/>
        <rFont val="Palatino Linotype"/>
        <family val="1"/>
      </rPr>
      <t>w</t>
    </r>
    <r>
      <rPr>
        <vertAlign val="subscript"/>
        <sz val="20"/>
        <color theme="1"/>
        <rFont val="Palatino Linotype"/>
        <family val="1"/>
      </rPr>
      <t>0</t>
    </r>
  </si>
  <si>
    <r>
      <rPr>
        <i/>
        <sz val="20"/>
        <color theme="1"/>
        <rFont val="Palatino Linotype"/>
        <family val="1"/>
      </rPr>
      <t>w</t>
    </r>
    <r>
      <rPr>
        <vertAlign val="subscript"/>
        <sz val="20"/>
        <color theme="1"/>
        <rFont val="Palatino Linotype"/>
        <family val="1"/>
      </rPr>
      <t>1</t>
    </r>
  </si>
  <si>
    <t>#</t>
  </si>
  <si>
    <t>Prior Loop</t>
  </si>
  <si>
    <t>Next Loop</t>
  </si>
  <si>
    <r>
      <t>y</t>
    </r>
    <r>
      <rPr>
        <i/>
        <vertAlign val="subscript"/>
        <sz val="20"/>
        <color theme="1"/>
        <rFont val="Palatino Linotype"/>
        <family val="1"/>
      </rPr>
      <t>gd</t>
    </r>
  </si>
  <si>
    <r>
      <t>l</t>
    </r>
    <r>
      <rPr>
        <i/>
        <vertAlign val="subscript"/>
        <sz val="20"/>
        <color theme="1"/>
        <rFont val="Palatino Linotype"/>
        <family val="1"/>
      </rPr>
      <t>gd</t>
    </r>
  </si>
  <si>
    <t>J</t>
  </si>
  <si>
    <r>
      <t>j</t>
    </r>
    <r>
      <rPr>
        <i/>
        <vertAlign val="subscript"/>
        <sz val="20"/>
        <color theme="1"/>
        <rFont val="Palatino Linotype"/>
        <family val="1"/>
      </rPr>
      <t>ls</t>
    </r>
  </si>
  <si>
    <r>
      <t>j</t>
    </r>
    <r>
      <rPr>
        <i/>
        <vertAlign val="subscript"/>
        <sz val="20"/>
        <color theme="1"/>
        <rFont val="Palatino Linotype"/>
        <family val="1"/>
      </rPr>
      <t>gd</t>
    </r>
  </si>
  <si>
    <t>Optimisation</t>
  </si>
  <si>
    <t>Best</t>
  </si>
  <si>
    <r>
      <t>t</t>
    </r>
    <r>
      <rPr>
        <i/>
        <vertAlign val="subscript"/>
        <sz val="20"/>
        <color theme="1"/>
        <rFont val="Palatino Linotype"/>
        <family val="1"/>
      </rPr>
      <t>og</t>
    </r>
  </si>
  <si>
    <r>
      <rPr>
        <b/>
        <i/>
        <sz val="20"/>
        <color theme="1"/>
        <rFont val="Palatino Linotype"/>
        <family val="1"/>
      </rPr>
      <t>W</t>
    </r>
    <r>
      <rPr>
        <i/>
        <vertAlign val="subscript"/>
        <sz val="20"/>
        <color theme="1"/>
        <rFont val="Palatino Linotype"/>
        <family val="1"/>
      </rPr>
      <t>Data</t>
    </r>
  </si>
  <si>
    <t>noise</t>
  </si>
  <si>
    <r>
      <t>J</t>
    </r>
    <r>
      <rPr>
        <i/>
        <vertAlign val="superscript"/>
        <sz val="20"/>
        <color theme="1"/>
        <rFont val="Palatino Linotype"/>
        <family val="1"/>
      </rPr>
      <t>2</t>
    </r>
  </si>
  <si>
    <t>(remove mean / standardisation)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</si>
</sst>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Palatino Linotype"/>
      <family val="1"/>
    </font>
    <font>
      <sz val="20"/>
      <color theme="1"/>
      <name val="Palatino Linotype"/>
      <family val="1"/>
    </font>
    <font>
      <i/>
      <sz val="20"/>
      <color theme="1"/>
      <name val="Palatino Linotype"/>
      <family val="1"/>
    </font>
    <font>
      <vertAlign val="subscript"/>
      <sz val="20"/>
      <color theme="1"/>
      <name val="Palatino Linotype"/>
      <family val="1"/>
    </font>
    <font>
      <sz val="11"/>
      <color rgb="FF000000"/>
      <name val="Calibri"/>
      <family val="2"/>
    </font>
    <font>
      <b/>
      <vertAlign val="superscript"/>
      <sz val="22"/>
      <color theme="1"/>
      <name val="Palatino Linotype"/>
      <family val="1"/>
    </font>
    <font>
      <b/>
      <sz val="20"/>
      <color theme="1"/>
      <name val="Palatino Linotype"/>
      <family val="1"/>
    </font>
    <font>
      <sz val="22"/>
      <color theme="1"/>
      <name val="Palatino Linotype"/>
      <family val="1"/>
    </font>
    <font>
      <vertAlign val="superscript"/>
      <sz val="22"/>
      <color theme="1"/>
      <name val="Palatino Linotype"/>
      <family val="1"/>
    </font>
    <font>
      <vertAlign val="superscript"/>
      <sz val="20"/>
      <color theme="1"/>
      <name val="Palatino Linotype"/>
      <family val="1"/>
    </font>
    <font>
      <sz val="15"/>
      <color theme="1"/>
      <name val="Palatino Linotype"/>
      <family val="1"/>
    </font>
    <font>
      <i/>
      <vertAlign val="subscript"/>
      <sz val="20"/>
      <color theme="1"/>
      <name val="Palatino Linotype"/>
      <family val="1"/>
    </font>
    <font>
      <b/>
      <vertAlign val="subscript"/>
      <sz val="16"/>
      <color theme="1"/>
      <name val="Palatino Linotype"/>
      <family val="1"/>
    </font>
    <font>
      <b/>
      <sz val="14"/>
      <color theme="1"/>
      <name val="Palatino Linotype"/>
      <family val="1"/>
    </font>
    <font>
      <b/>
      <sz val="24"/>
      <color theme="1"/>
      <name val="Palatino Linotype"/>
      <family val="1"/>
    </font>
    <font>
      <vertAlign val="subscript"/>
      <sz val="22"/>
      <color theme="1"/>
      <name val="Palatino Linotype"/>
      <family val="1"/>
    </font>
    <font>
      <b/>
      <u/>
      <sz val="24"/>
      <color theme="1"/>
      <name val="Perpetua"/>
      <family val="1"/>
    </font>
    <font>
      <vertAlign val="subscript"/>
      <sz val="10"/>
      <color theme="1"/>
      <name val="Arial"/>
      <family val="2"/>
    </font>
    <font>
      <b/>
      <sz val="18"/>
      <color theme="1"/>
      <name val="Palatino Linotype"/>
      <family val="1"/>
    </font>
    <font>
      <b/>
      <vertAlign val="subscript"/>
      <sz val="18"/>
      <color theme="1"/>
      <name val="Palatino Linotype"/>
      <family val="1"/>
    </font>
    <font>
      <b/>
      <sz val="18"/>
      <color theme="8" tint="-0.249977111117893"/>
      <name val="Arial"/>
      <family val="2"/>
    </font>
    <font>
      <i/>
      <vertAlign val="superscript"/>
      <sz val="20"/>
      <color theme="1"/>
      <name val="Palatino Linotype"/>
      <family val="1"/>
    </font>
    <font>
      <i/>
      <sz val="14"/>
      <color theme="1"/>
      <name val="Lucida Bright"/>
      <family val="1"/>
    </font>
    <font>
      <i/>
      <vertAlign val="subscript"/>
      <sz val="14"/>
      <color theme="1"/>
      <name val="Lucida Bright"/>
      <family val="1"/>
    </font>
    <font>
      <sz val="22"/>
      <color theme="1"/>
      <name val="Arial"/>
      <family val="2"/>
    </font>
    <font>
      <b/>
      <i/>
      <sz val="20"/>
      <color theme="1"/>
      <name val="Palatino Linotype"/>
      <family val="1"/>
    </font>
    <font>
      <i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13" xfId="0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0" xfId="0" applyNumberFormat="1" applyBorder="1"/>
    <xf numFmtId="2" fontId="0" fillId="0" borderId="14" xfId="0" applyNumberFormat="1" applyBorder="1"/>
    <xf numFmtId="2" fontId="0" fillId="0" borderId="4" xfId="0" applyNumberFormat="1" applyBorder="1"/>
    <xf numFmtId="2" fontId="0" fillId="0" borderId="1" xfId="0" applyNumberFormat="1" applyBorder="1"/>
    <xf numFmtId="2" fontId="0" fillId="0" borderId="13" xfId="0" applyNumberFormat="1" applyBorder="1"/>
    <xf numFmtId="2" fontId="0" fillId="0" borderId="18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9" fillId="0" borderId="0" xfId="0" applyFont="1" applyAlignment="1"/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1" fillId="0" borderId="0" xfId="0" applyFont="1"/>
    <xf numFmtId="164" fontId="1" fillId="0" borderId="0" xfId="0" applyNumberFormat="1" applyFont="1"/>
    <xf numFmtId="2" fontId="0" fillId="3" borderId="6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4" fontId="23" fillId="0" borderId="0" xfId="0" applyNumberFormat="1" applyFont="1"/>
    <xf numFmtId="2" fontId="0" fillId="4" borderId="6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2" fontId="0" fillId="0" borderId="19" xfId="0" applyNumberFormat="1" applyBorder="1"/>
    <xf numFmtId="2" fontId="0" fillId="0" borderId="25" xfId="0" applyNumberFormat="1" applyBorder="1"/>
    <xf numFmtId="0" fontId="5" fillId="0" borderId="23" xfId="0" applyFont="1" applyBorder="1" applyAlignment="1">
      <alignment horizontal="center"/>
    </xf>
    <xf numFmtId="0" fontId="0" fillId="0" borderId="0" xfId="0" applyProtection="1">
      <protection locked="0"/>
    </xf>
    <xf numFmtId="2" fontId="0" fillId="0" borderId="15" xfId="0" applyNumberFormat="1" applyFont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 applyProtection="1">
      <alignment horizontal="center" vertical="center" wrapText="1"/>
      <protection locked="0"/>
    </xf>
    <xf numFmtId="2" fontId="0" fillId="0" borderId="20" xfId="0" applyNumberFormat="1" applyBorder="1" applyAlignment="1" applyProtection="1">
      <alignment horizontal="center"/>
      <protection locked="0"/>
    </xf>
    <xf numFmtId="2" fontId="0" fillId="0" borderId="15" xfId="0" applyNumberFormat="1" applyBorder="1" applyAlignment="1" applyProtection="1">
      <alignment horizontal="center"/>
      <protection locked="0"/>
    </xf>
    <xf numFmtId="2" fontId="0" fillId="0" borderId="17" xfId="0" applyNumberFormat="1" applyBorder="1" applyAlignment="1" applyProtection="1">
      <alignment horizontal="center" vertical="center"/>
      <protection locked="0"/>
    </xf>
    <xf numFmtId="2" fontId="0" fillId="0" borderId="21" xfId="0" applyNumberFormat="1" applyBorder="1" applyAlignment="1" applyProtection="1">
      <alignment horizontal="center" vertical="center"/>
      <protection locked="0"/>
    </xf>
    <xf numFmtId="2" fontId="0" fillId="0" borderId="27" xfId="0" applyNumberFormat="1" applyBorder="1" applyAlignment="1" applyProtection="1">
      <alignment horizontal="center" vertical="center"/>
      <protection locked="0"/>
    </xf>
    <xf numFmtId="2" fontId="0" fillId="0" borderId="23" xfId="0" applyNumberFormat="1" applyBorder="1" applyAlignment="1" applyProtection="1">
      <alignment horizontal="center" vertical="center"/>
      <protection locked="0"/>
    </xf>
    <xf numFmtId="2" fontId="0" fillId="0" borderId="24" xfId="0" applyNumberFormat="1" applyBorder="1" applyAlignment="1" applyProtection="1">
      <alignment horizontal="center" vertical="center"/>
      <protection locked="0"/>
    </xf>
    <xf numFmtId="2" fontId="0" fillId="0" borderId="28" xfId="0" applyNumberFormat="1" applyBorder="1" applyAlignment="1" applyProtection="1">
      <alignment horizontal="center" vertical="center"/>
      <protection locked="0"/>
    </xf>
    <xf numFmtId="0" fontId="16" fillId="0" borderId="0" xfId="0" applyFont="1" applyBorder="1" applyAlignment="1">
      <alignment vertical="center"/>
    </xf>
    <xf numFmtId="4" fontId="0" fillId="0" borderId="0" xfId="0" applyNumberFormat="1"/>
    <xf numFmtId="0" fontId="5" fillId="0" borderId="2" xfId="0" applyFont="1" applyFill="1" applyBorder="1" applyAlignment="1">
      <alignment horizontal="center" vertical="center"/>
    </xf>
    <xf numFmtId="4" fontId="0" fillId="0" borderId="14" xfId="0" applyNumberFormat="1" applyBorder="1"/>
    <xf numFmtId="4" fontId="0" fillId="0" borderId="13" xfId="0" applyNumberFormat="1" applyBorder="1"/>
    <xf numFmtId="0" fontId="25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1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10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2" fontId="3" fillId="0" borderId="0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21" fillId="0" borderId="15" xfId="0" applyFont="1" applyBorder="1" applyAlignment="1" applyProtection="1">
      <alignment horizontal="center" vertical="center"/>
      <protection locked="0"/>
    </xf>
    <xf numFmtId="0" fontId="0" fillId="0" borderId="31" xfId="0" applyBorder="1" applyAlignment="1">
      <alignment horizontal="center"/>
    </xf>
    <xf numFmtId="0" fontId="1" fillId="0" borderId="32" xfId="0" applyFont="1" applyBorder="1"/>
    <xf numFmtId="0" fontId="0" fillId="0" borderId="30" xfId="0" applyBorder="1"/>
    <xf numFmtId="0" fontId="0" fillId="0" borderId="33" xfId="0" applyBorder="1"/>
    <xf numFmtId="0" fontId="3" fillId="0" borderId="32" xfId="0" applyFont="1" applyBorder="1" applyAlignment="1"/>
    <xf numFmtId="0" fontId="3" fillId="0" borderId="30" xfId="0" applyFont="1" applyBorder="1" applyAlignment="1"/>
    <xf numFmtId="2" fontId="0" fillId="3" borderId="13" xfId="0" applyNumberForma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 wrapText="1"/>
      <protection locked="0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2" fontId="0" fillId="3" borderId="38" xfId="0" applyNumberForma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7" fillId="2" borderId="40" xfId="0" applyFont="1" applyFill="1" applyBorder="1" applyAlignment="1" applyProtection="1">
      <alignment horizontal="center" vertical="center" wrapText="1"/>
      <protection locked="0"/>
    </xf>
    <xf numFmtId="2" fontId="0" fillId="3" borderId="41" xfId="0" applyNumberForma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27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42" xfId="0" applyFont="1" applyBorder="1" applyAlignment="1">
      <alignment horizontal="centerContinuous"/>
    </xf>
    <xf numFmtId="0" fontId="1" fillId="0" borderId="44" xfId="0" applyFont="1" applyBorder="1" applyAlignment="1">
      <alignment horizontal="centerContinuous"/>
    </xf>
    <xf numFmtId="0" fontId="4" fillId="0" borderId="48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4" fontId="0" fillId="0" borderId="48" xfId="0" applyNumberFormat="1" applyBorder="1" applyAlignment="1">
      <alignment horizontal="center"/>
    </xf>
    <xf numFmtId="4" fontId="0" fillId="0" borderId="49" xfId="0" applyNumberFormat="1" applyBorder="1" applyAlignment="1">
      <alignment horizontal="center"/>
    </xf>
    <xf numFmtId="4" fontId="0" fillId="0" borderId="45" xfId="0" applyNumberFormat="1" applyBorder="1" applyAlignment="1">
      <alignment horizontal="center"/>
    </xf>
    <xf numFmtId="4" fontId="0" fillId="0" borderId="47" xfId="0" applyNumberFormat="1" applyBorder="1" applyAlignment="1">
      <alignment horizontal="center"/>
    </xf>
    <xf numFmtId="0" fontId="1" fillId="0" borderId="43" xfId="0" applyFont="1" applyBorder="1" applyAlignment="1">
      <alignment horizontal="centerContinuous"/>
    </xf>
    <xf numFmtId="0" fontId="5" fillId="0" borderId="49" xfId="0" applyFont="1" applyBorder="1" applyAlignment="1">
      <alignment horizontal="center" vertical="center"/>
    </xf>
    <xf numFmtId="4" fontId="0" fillId="0" borderId="0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4" fontId="0" fillId="0" borderId="46" xfId="0" applyNumberFormat="1" applyBorder="1" applyAlignment="1">
      <alignment horizontal="center"/>
    </xf>
    <xf numFmtId="2" fontId="10" fillId="0" borderId="48" xfId="0" applyNumberFormat="1" applyFont="1" applyBorder="1" applyAlignment="1">
      <alignment horizontal="center" vertical="center"/>
    </xf>
    <xf numFmtId="2" fontId="10" fillId="0" borderId="49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3" fillId="0" borderId="0" xfId="0" applyFont="1" applyBorder="1" applyAlignment="1">
      <alignment vertical="center"/>
    </xf>
    <xf numFmtId="0" fontId="0" fillId="5" borderId="0" xfId="0" applyFill="1" applyAlignment="1">
      <alignment horizontal="center"/>
    </xf>
    <xf numFmtId="4" fontId="0" fillId="5" borderId="48" xfId="0" applyNumberFormat="1" applyFill="1" applyBorder="1" applyAlignment="1">
      <alignment horizontal="center"/>
    </xf>
    <xf numFmtId="4" fontId="0" fillId="5" borderId="49" xfId="0" applyNumberFormat="1" applyFill="1" applyBorder="1" applyAlignment="1">
      <alignment horizontal="center"/>
    </xf>
    <xf numFmtId="0" fontId="0" fillId="5" borderId="48" xfId="0" applyFill="1" applyBorder="1" applyAlignment="1">
      <alignment horizontal="center"/>
    </xf>
    <xf numFmtId="4" fontId="0" fillId="0" borderId="31" xfId="0" applyNumberFormat="1" applyBorder="1" applyAlignment="1">
      <alignment horizontal="center"/>
    </xf>
    <xf numFmtId="2" fontId="0" fillId="3" borderId="14" xfId="0" applyNumberForma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4" fontId="0" fillId="0" borderId="37" xfId="0" applyNumberFormat="1" applyBorder="1" applyAlignment="1">
      <alignment horizontal="center"/>
    </xf>
    <xf numFmtId="4" fontId="0" fillId="0" borderId="38" xfId="0" applyNumberFormat="1" applyBorder="1" applyAlignment="1">
      <alignment horizontal="center"/>
    </xf>
    <xf numFmtId="4" fontId="0" fillId="0" borderId="39" xfId="0" applyNumberFormat="1" applyBorder="1" applyAlignment="1">
      <alignment horizontal="center"/>
    </xf>
    <xf numFmtId="4" fontId="0" fillId="0" borderId="40" xfId="0" applyNumberFormat="1" applyBorder="1" applyAlignment="1">
      <alignment horizontal="center"/>
    </xf>
    <xf numFmtId="4" fontId="0" fillId="0" borderId="41" xfId="0" applyNumberFormat="1" applyBorder="1" applyAlignment="1">
      <alignment horizontal="center"/>
    </xf>
    <xf numFmtId="0" fontId="5" fillId="0" borderId="43" xfId="0" applyFont="1" applyBorder="1" applyAlignment="1">
      <alignment horizontal="center" vertical="center"/>
    </xf>
    <xf numFmtId="0" fontId="0" fillId="0" borderId="43" xfId="0" applyBorder="1"/>
    <xf numFmtId="2" fontId="1" fillId="0" borderId="43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0" fillId="0" borderId="46" xfId="0" applyBorder="1"/>
    <xf numFmtId="4" fontId="0" fillId="5" borderId="46" xfId="0" applyNumberFormat="1" applyFill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/>
    </xf>
    <xf numFmtId="0" fontId="0" fillId="0" borderId="0" xfId="0" applyBorder="1"/>
    <xf numFmtId="4" fontId="0" fillId="5" borderId="0" xfId="0" applyNumberFormat="1" applyFill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9" fillId="0" borderId="46" xfId="0" applyFont="1" applyBorder="1" applyAlignment="1">
      <alignment vertical="center"/>
    </xf>
    <xf numFmtId="2" fontId="1" fillId="0" borderId="4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88505449131258"/>
          <c:y val="3.934263740194037E-2"/>
          <c:w val="0.83933267752102947"/>
          <c:h val="0.67939099308206641"/>
        </c:manualLayout>
      </c:layout>
      <c:scatterChart>
        <c:scatterStyle val="lineMarker"/>
        <c:varyColors val="0"/>
        <c:ser>
          <c:idx val="0"/>
          <c:order val="0"/>
          <c:tx>
            <c:v>t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LR!$F$8:$F$17</c:f>
              <c:numCache>
                <c:formatCode>General</c:formatCode>
                <c:ptCount val="10"/>
                <c:pt idx="0">
                  <c:v>2</c:v>
                </c:pt>
                <c:pt idx="1">
                  <c:v>2.4</c:v>
                </c:pt>
                <c:pt idx="2">
                  <c:v>5.3</c:v>
                </c:pt>
                <c:pt idx="3">
                  <c:v>6.1</c:v>
                </c:pt>
                <c:pt idx="4">
                  <c:v>3.2</c:v>
                </c:pt>
                <c:pt idx="5">
                  <c:v>4.2</c:v>
                </c:pt>
                <c:pt idx="6">
                  <c:v>8.5</c:v>
                </c:pt>
                <c:pt idx="7">
                  <c:v>7.8</c:v>
                </c:pt>
                <c:pt idx="8">
                  <c:v>8.67</c:v>
                </c:pt>
                <c:pt idx="9">
                  <c:v>9.52</c:v>
                </c:pt>
              </c:numCache>
            </c:numRef>
          </c:xVal>
          <c:yVal>
            <c:numRef>
              <c:f>LR!$G$8:$G$17</c:f>
              <c:numCache>
                <c:formatCode>0.00</c:formatCode>
                <c:ptCount val="10"/>
                <c:pt idx="0">
                  <c:v>15.452476489170822</c:v>
                </c:pt>
                <c:pt idx="1">
                  <c:v>16.734772654786067</c:v>
                </c:pt>
                <c:pt idx="2">
                  <c:v>32.415837294141916</c:v>
                </c:pt>
                <c:pt idx="3">
                  <c:v>34.023233113632969</c:v>
                </c:pt>
                <c:pt idx="4">
                  <c:v>24.576295202927493</c:v>
                </c:pt>
                <c:pt idx="5">
                  <c:v>33.234405543311212</c:v>
                </c:pt>
                <c:pt idx="6">
                  <c:v>52.19514449723161</c:v>
                </c:pt>
                <c:pt idx="7">
                  <c:v>45.623561756455189</c:v>
                </c:pt>
                <c:pt idx="8">
                  <c:v>48.023578522920694</c:v>
                </c:pt>
                <c:pt idx="9">
                  <c:v>55.865920237563493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D-4B7F-8BD3-31DC6A4F0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620096"/>
        <c:axId val="6856174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y_ls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LR!$F$8:$F$17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</c:v>
                      </c:pt>
                      <c:pt idx="1">
                        <c:v>2.4</c:v>
                      </c:pt>
                      <c:pt idx="2">
                        <c:v>5.3</c:v>
                      </c:pt>
                      <c:pt idx="3">
                        <c:v>6.1</c:v>
                      </c:pt>
                      <c:pt idx="4">
                        <c:v>3.2</c:v>
                      </c:pt>
                      <c:pt idx="5">
                        <c:v>4.2</c:v>
                      </c:pt>
                      <c:pt idx="6">
                        <c:v>8.5</c:v>
                      </c:pt>
                      <c:pt idx="7">
                        <c:v>7.8</c:v>
                      </c:pt>
                      <c:pt idx="8">
                        <c:v>8.67</c:v>
                      </c:pt>
                      <c:pt idx="9">
                        <c:v>9.52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LR!$H$8:$H$17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16.688006385981467</c:v>
                      </c:pt>
                      <c:pt idx="1">
                        <c:v>18.717883397945666</c:v>
                      </c:pt>
                      <c:pt idx="2">
                        <c:v>33.434491734686119</c:v>
                      </c:pt>
                      <c:pt idx="3">
                        <c:v>37.494245758614511</c:v>
                      </c:pt>
                      <c:pt idx="4">
                        <c:v>22.777637421874068</c:v>
                      </c:pt>
                      <c:pt idx="5">
                        <c:v>27.852329951784569</c:v>
                      </c:pt>
                      <c:pt idx="6">
                        <c:v>49.673507830399714</c:v>
                      </c:pt>
                      <c:pt idx="7">
                        <c:v>46.121223059462366</c:v>
                      </c:pt>
                      <c:pt idx="8">
                        <c:v>50.536205560484504</c:v>
                      </c:pt>
                      <c:pt idx="9">
                        <c:v>54.849694210908424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C6BD-4B7F-8BD3-31DC6A4F03B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y_GD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LR!$F$8:$F$17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</c:v>
                      </c:pt>
                      <c:pt idx="1">
                        <c:v>2.4</c:v>
                      </c:pt>
                      <c:pt idx="2">
                        <c:v>5.3</c:v>
                      </c:pt>
                      <c:pt idx="3">
                        <c:v>6.1</c:v>
                      </c:pt>
                      <c:pt idx="4">
                        <c:v>3.2</c:v>
                      </c:pt>
                      <c:pt idx="5">
                        <c:v>4.2</c:v>
                      </c:pt>
                      <c:pt idx="6">
                        <c:v>8.5</c:v>
                      </c:pt>
                      <c:pt idx="7">
                        <c:v>7.8</c:v>
                      </c:pt>
                      <c:pt idx="8">
                        <c:v>8.67</c:v>
                      </c:pt>
                      <c:pt idx="9">
                        <c:v>9.52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LR!$I$8:$I$17</c15:sqref>
                        </c15:formulaRef>
                      </c:ext>
                    </c:extLst>
                    <c:numCache>
                      <c:formatCode>0.00</c:formatCode>
                      <c:ptCount val="10"/>
                      <c:pt idx="0">
                        <c:v>12.7209370405548</c:v>
                      </c:pt>
                      <c:pt idx="1">
                        <c:v>15.067932729001578</c:v>
                      </c:pt>
                      <c:pt idx="2">
                        <c:v>32.083651470240717</c:v>
                      </c:pt>
                      <c:pt idx="3">
                        <c:v>36.777642847134267</c:v>
                      </c:pt>
                      <c:pt idx="4">
                        <c:v>19.761924105895133</c:v>
                      </c:pt>
                      <c:pt idx="5">
                        <c:v>25.629413327012081</c:v>
                      </c:pt>
                      <c:pt idx="6">
                        <c:v>50.859616977814937</c:v>
                      </c:pt>
                      <c:pt idx="7">
                        <c:v>46.752374523033076</c:v>
                      </c:pt>
                      <c:pt idx="8">
                        <c:v>51.857090145404818</c:v>
                      </c:pt>
                      <c:pt idx="9">
                        <c:v>56.844455983354223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6BD-4B7F-8BD3-31DC6A4F03BD}"/>
                  </c:ext>
                </c:extLst>
              </c15:ser>
            </c15:filteredScatterSeries>
          </c:ext>
        </c:extLst>
      </c:scatterChart>
      <c:valAx>
        <c:axId val="68562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GB" sz="2400" i="1">
                    <a:latin typeface="Palatino Linotype" panose="02040502050505030304" pitchFamily="18" charset="0"/>
                  </a:rPr>
                  <a:t>x</a:t>
                </a:r>
                <a:r>
                  <a:rPr lang="en-GB" sz="2400" i="1" baseline="-25000">
                    <a:latin typeface="Palatino Linotype" panose="02040502050505030304" pitchFamily="18" charset="0"/>
                  </a:rPr>
                  <a:t>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17472"/>
        <c:crosses val="autoZero"/>
        <c:crossBetween val="midCat"/>
      </c:valAx>
      <c:valAx>
        <c:axId val="685617472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28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r>
                  <a:rPr lang="en-GB" sz="2800" b="0" i="1">
                    <a:latin typeface="Palatino Linotype" panose="02040502050505030304" pitchFamily="18" charset="0"/>
                  </a:rPr>
                  <a:t>t</a:t>
                </a:r>
              </a:p>
            </c:rich>
          </c:tx>
          <c:layout>
            <c:manualLayout>
              <c:xMode val="edge"/>
              <c:yMode val="edge"/>
              <c:x val="0"/>
              <c:y val="0.29088256017780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28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 Linotype" panose="0204050205050503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62009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'my attemp'!$K$4</c:f>
              <c:strCache>
                <c:ptCount val="1"/>
                <c:pt idx="0">
                  <c:v>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'my attemp'!$J$5:$J$14</c:f>
              <c:numCache>
                <c:formatCode>General</c:formatCode>
                <c:ptCount val="10"/>
                <c:pt idx="0">
                  <c:v>2</c:v>
                </c:pt>
                <c:pt idx="1">
                  <c:v>2.4</c:v>
                </c:pt>
                <c:pt idx="2">
                  <c:v>5.3</c:v>
                </c:pt>
                <c:pt idx="3">
                  <c:v>6.1</c:v>
                </c:pt>
                <c:pt idx="4">
                  <c:v>3.2</c:v>
                </c:pt>
                <c:pt idx="5">
                  <c:v>4.2</c:v>
                </c:pt>
                <c:pt idx="6">
                  <c:v>8.5</c:v>
                </c:pt>
                <c:pt idx="7">
                  <c:v>7.8</c:v>
                </c:pt>
                <c:pt idx="8">
                  <c:v>8.67</c:v>
                </c:pt>
                <c:pt idx="9">
                  <c:v>9.52</c:v>
                </c:pt>
              </c:numCache>
            </c:numRef>
          </c:xVal>
          <c:yVal>
            <c:numRef>
              <c:f>'my attemp'!$K$5:$K$14</c:f>
              <c:numCache>
                <c:formatCode>0.00</c:formatCode>
                <c:ptCount val="10"/>
                <c:pt idx="0">
                  <c:v>61.239834893557301</c:v>
                </c:pt>
                <c:pt idx="1">
                  <c:v>22.281026997148853</c:v>
                </c:pt>
                <c:pt idx="2">
                  <c:v>68.817396632899857</c:v>
                </c:pt>
                <c:pt idx="3">
                  <c:v>57.29288714063604</c:v>
                </c:pt>
                <c:pt idx="4">
                  <c:v>46.314382472575055</c:v>
                </c:pt>
                <c:pt idx="5">
                  <c:v>33.644501292047991</c:v>
                </c:pt>
                <c:pt idx="6">
                  <c:v>57.364228810758391</c:v>
                </c:pt>
                <c:pt idx="7">
                  <c:v>57.852756295279768</c:v>
                </c:pt>
                <c:pt idx="8">
                  <c:v>69.017374790675248</c:v>
                </c:pt>
                <c:pt idx="9">
                  <c:v>59.903605041187127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1D-43F1-AFEA-8158DE54EF92}"/>
            </c:ext>
          </c:extLst>
        </c:ser>
        <c:ser>
          <c:idx val="1"/>
          <c:order val="1"/>
          <c:tx>
            <c:strRef>
              <c:f>'my attemp'!$L$4</c:f>
              <c:strCache>
                <c:ptCount val="1"/>
                <c:pt idx="0">
                  <c:v>yls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'my attemp'!$J$5:$J$14</c:f>
              <c:numCache>
                <c:formatCode>General</c:formatCode>
                <c:ptCount val="10"/>
                <c:pt idx="0">
                  <c:v>2</c:v>
                </c:pt>
                <c:pt idx="1">
                  <c:v>2.4</c:v>
                </c:pt>
                <c:pt idx="2">
                  <c:v>5.3</c:v>
                </c:pt>
                <c:pt idx="3">
                  <c:v>6.1</c:v>
                </c:pt>
                <c:pt idx="4">
                  <c:v>3.2</c:v>
                </c:pt>
                <c:pt idx="5">
                  <c:v>4.2</c:v>
                </c:pt>
                <c:pt idx="6">
                  <c:v>8.5</c:v>
                </c:pt>
                <c:pt idx="7">
                  <c:v>7.8</c:v>
                </c:pt>
                <c:pt idx="8">
                  <c:v>8.67</c:v>
                </c:pt>
                <c:pt idx="9">
                  <c:v>9.52</c:v>
                </c:pt>
              </c:numCache>
            </c:numRef>
          </c:xVal>
          <c:yVal>
            <c:numRef>
              <c:f>'my attemp'!$L$5:$L$14</c:f>
              <c:numCache>
                <c:formatCode>#,##0.00</c:formatCode>
                <c:ptCount val="10"/>
                <c:pt idx="0">
                  <c:v>42.007234215679247</c:v>
                </c:pt>
                <c:pt idx="1">
                  <c:v>43.213449680895209</c:v>
                </c:pt>
                <c:pt idx="2">
                  <c:v>51.958511803710905</c:v>
                </c:pt>
                <c:pt idx="3">
                  <c:v>54.37094273414283</c:v>
                </c:pt>
                <c:pt idx="4">
                  <c:v>45.625880611327126</c:v>
                </c:pt>
                <c:pt idx="5">
                  <c:v>48.641419274367024</c:v>
                </c:pt>
                <c:pt idx="6">
                  <c:v>61.608235525438587</c:v>
                </c:pt>
                <c:pt idx="7">
                  <c:v>59.497358461310654</c:v>
                </c:pt>
                <c:pt idx="8">
                  <c:v>62.120877098155361</c:v>
                </c:pt>
                <c:pt idx="9">
                  <c:v>64.684084961739273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1D-43F1-AFEA-8158DE54EF92}"/>
            </c:ext>
          </c:extLst>
        </c:ser>
        <c:ser>
          <c:idx val="2"/>
          <c:order val="2"/>
          <c:tx>
            <c:strRef>
              <c:f>'my attemp'!$M$4</c:f>
              <c:strCache>
                <c:ptCount val="1"/>
                <c:pt idx="0">
                  <c:v>ygd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'my attemp'!$J$5:$J$14</c:f>
              <c:numCache>
                <c:formatCode>General</c:formatCode>
                <c:ptCount val="10"/>
                <c:pt idx="0">
                  <c:v>2</c:v>
                </c:pt>
                <c:pt idx="1">
                  <c:v>2.4</c:v>
                </c:pt>
                <c:pt idx="2">
                  <c:v>5.3</c:v>
                </c:pt>
                <c:pt idx="3">
                  <c:v>6.1</c:v>
                </c:pt>
                <c:pt idx="4">
                  <c:v>3.2</c:v>
                </c:pt>
                <c:pt idx="5">
                  <c:v>4.2</c:v>
                </c:pt>
                <c:pt idx="6">
                  <c:v>8.5</c:v>
                </c:pt>
                <c:pt idx="7">
                  <c:v>7.8</c:v>
                </c:pt>
                <c:pt idx="8">
                  <c:v>8.67</c:v>
                </c:pt>
                <c:pt idx="9">
                  <c:v>9.52</c:v>
                </c:pt>
              </c:numCache>
            </c:numRef>
          </c:xVal>
          <c:yVal>
            <c:numRef>
              <c:f>'my attemp'!$M$5:$M$14</c:f>
              <c:numCache>
                <c:formatCode>#,##0.00</c:formatCode>
                <c:ptCount val="10"/>
                <c:pt idx="0">
                  <c:v>20.755734686107029</c:v>
                </c:pt>
                <c:pt idx="1">
                  <c:v>23.65278378961359</c:v>
                </c:pt>
                <c:pt idx="2">
                  <c:v>44.656389790036151</c:v>
                </c:pt>
                <c:pt idx="3">
                  <c:v>50.450487997049272</c:v>
                </c:pt>
                <c:pt idx="4">
                  <c:v>29.446881996626715</c:v>
                </c:pt>
                <c:pt idx="5">
                  <c:v>36.689504755393109</c:v>
                </c:pt>
                <c:pt idx="6">
                  <c:v>67.832782618088629</c:v>
                </c:pt>
                <c:pt idx="7">
                  <c:v>62.762946686952155</c:v>
                </c:pt>
                <c:pt idx="8">
                  <c:v>69.064028487078915</c:v>
                </c:pt>
                <c:pt idx="9">
                  <c:v>75.220257832030356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E1D-43F1-AFEA-8158DE54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391920"/>
        <c:axId val="1409392752"/>
      </c:scatterChart>
      <c:valAx>
        <c:axId val="140939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92752"/>
        <c:crosses val="autoZero"/>
        <c:crossBetween val="midCat"/>
      </c:valAx>
      <c:valAx>
        <c:axId val="140939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39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38875</xdr:colOff>
      <xdr:row>5</xdr:row>
      <xdr:rowOff>305500</xdr:rowOff>
    </xdr:from>
    <xdr:to>
      <xdr:col>19</xdr:col>
      <xdr:colOff>476251</xdr:colOff>
      <xdr:row>19</xdr:row>
      <xdr:rowOff>93910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</xdr:row>
      <xdr:rowOff>0</xdr:rowOff>
    </xdr:from>
    <xdr:to>
      <xdr:col>30</xdr:col>
      <xdr:colOff>396875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FA1C02-4CBC-406C-AFFB-F531A841D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Y199"/>
  <sheetViews>
    <sheetView showGridLines="0" topLeftCell="A3" zoomScaleNormal="100" workbookViewId="0">
      <selection activeCell="H18" sqref="H18"/>
    </sheetView>
  </sheetViews>
  <sheetFormatPr defaultRowHeight="12.5" x14ac:dyDescent="0.25"/>
  <cols>
    <col min="1" max="1" width="9.54296875" customWidth="1"/>
    <col min="8" max="8" width="13.1796875" customWidth="1"/>
    <col min="9" max="9" width="13.453125" bestFit="1" customWidth="1"/>
    <col min="11" max="11" width="10" customWidth="1"/>
  </cols>
  <sheetData>
    <row r="3" spans="1:51" ht="32.5" x14ac:dyDescent="0.85">
      <c r="J3" s="32" t="s">
        <v>5</v>
      </c>
    </row>
    <row r="5" spans="1:51" ht="18" x14ac:dyDescent="0.4">
      <c r="F5" s="1" t="s">
        <v>0</v>
      </c>
    </row>
    <row r="6" spans="1:51" ht="32" thickBot="1" x14ac:dyDescent="0.9">
      <c r="E6" s="75" t="s">
        <v>1</v>
      </c>
      <c r="F6" s="75"/>
      <c r="G6" s="2" t="s">
        <v>2</v>
      </c>
      <c r="J6" s="24"/>
    </row>
    <row r="7" spans="1:51" ht="33" thickBot="1" x14ac:dyDescent="0.9">
      <c r="A7" s="82" t="s">
        <v>23</v>
      </c>
      <c r="B7" s="27" t="s">
        <v>14</v>
      </c>
      <c r="C7" s="46">
        <v>3</v>
      </c>
      <c r="E7" s="3" t="s">
        <v>3</v>
      </c>
      <c r="F7" s="4" t="s">
        <v>4</v>
      </c>
      <c r="G7" s="5" t="s">
        <v>2</v>
      </c>
      <c r="H7" s="5" t="s">
        <v>20</v>
      </c>
      <c r="I7" s="5" t="s">
        <v>21</v>
      </c>
      <c r="J7" s="59" t="s">
        <v>25</v>
      </c>
      <c r="K7" s="59" t="s">
        <v>26</v>
      </c>
      <c r="L7" s="59" t="s">
        <v>25</v>
      </c>
      <c r="M7" s="59" t="s">
        <v>26</v>
      </c>
    </row>
    <row r="8" spans="1:51" ht="18.75" customHeight="1" thickBot="1" x14ac:dyDescent="0.9">
      <c r="A8" s="68"/>
      <c r="B8" s="27" t="s">
        <v>15</v>
      </c>
      <c r="C8" s="46">
        <v>5</v>
      </c>
      <c r="D8">
        <v>1</v>
      </c>
      <c r="E8" s="6">
        <v>1</v>
      </c>
      <c r="F8" s="47">
        <v>2</v>
      </c>
      <c r="G8" s="37">
        <f t="shared" ref="G8:G17" ca="1" si="0">(w_d0+w_d1*F8+noise*RAND())</f>
        <v>15.452476489170822</v>
      </c>
      <c r="H8" s="40">
        <f t="array" aca="1" ref="H8:H17" ca="1">MMULT(X,F32:F33)</f>
        <v>16.688006385981467</v>
      </c>
      <c r="I8" s="40">
        <f t="array" aca="1" ref="I8:I17" ca="1">MMULT(X,w_GD)</f>
        <v>12.7209370405548</v>
      </c>
      <c r="J8" s="17">
        <f t="array" aca="1" ref="J8:J17" ca="1">t-y_ls</f>
        <v>-1.235529896810645</v>
      </c>
      <c r="K8" s="60">
        <f t="array" aca="1" ref="K8:K17" ca="1">(t-y_ls)^2</f>
        <v>1.526534125912923</v>
      </c>
      <c r="L8" s="17">
        <f ca="1">$G8-J8</f>
        <v>16.688006385981467</v>
      </c>
      <c r="M8" s="60">
        <f ca="1">L8^2</f>
        <v>278.48955713855821</v>
      </c>
      <c r="AA8" s="62" t="s">
        <v>27</v>
      </c>
      <c r="AB8" s="63">
        <f>w_d0-4</f>
        <v>-1</v>
      </c>
      <c r="AC8" s="63">
        <f>AB8+0.1</f>
        <v>-0.9</v>
      </c>
      <c r="AD8" s="63">
        <f t="shared" ref="AD8:AY8" si="1">AC8+0.1</f>
        <v>-0.8</v>
      </c>
      <c r="AE8" s="63">
        <f t="shared" si="1"/>
        <v>-0.70000000000000007</v>
      </c>
      <c r="AF8" s="63">
        <f t="shared" si="1"/>
        <v>-0.60000000000000009</v>
      </c>
      <c r="AG8" s="63">
        <f t="shared" si="1"/>
        <v>-0.50000000000000011</v>
      </c>
      <c r="AH8" s="63">
        <f t="shared" si="1"/>
        <v>-0.40000000000000013</v>
      </c>
      <c r="AI8" s="63">
        <f t="shared" si="1"/>
        <v>-0.30000000000000016</v>
      </c>
      <c r="AJ8" s="63">
        <f t="shared" si="1"/>
        <v>-0.20000000000000015</v>
      </c>
      <c r="AK8" s="63">
        <f t="shared" si="1"/>
        <v>-0.10000000000000014</v>
      </c>
      <c r="AL8" s="63">
        <f t="shared" si="1"/>
        <v>-1.3877787807814457E-16</v>
      </c>
      <c r="AM8" s="63">
        <f t="shared" si="1"/>
        <v>9.9999999999999867E-2</v>
      </c>
      <c r="AN8" s="63">
        <f t="shared" si="1"/>
        <v>0.19999999999999987</v>
      </c>
      <c r="AO8" s="63">
        <f t="shared" si="1"/>
        <v>0.29999999999999988</v>
      </c>
      <c r="AP8" s="63">
        <f t="shared" si="1"/>
        <v>0.39999999999999991</v>
      </c>
      <c r="AQ8" s="63">
        <f t="shared" si="1"/>
        <v>0.49999999999999989</v>
      </c>
      <c r="AR8" s="63">
        <f t="shared" si="1"/>
        <v>0.59999999999999987</v>
      </c>
      <c r="AS8" s="63">
        <f t="shared" si="1"/>
        <v>0.69999999999999984</v>
      </c>
      <c r="AT8" s="63">
        <f t="shared" si="1"/>
        <v>0.79999999999999982</v>
      </c>
      <c r="AU8" s="63">
        <f t="shared" si="1"/>
        <v>0.8999999999999998</v>
      </c>
      <c r="AV8" s="63">
        <f t="shared" si="1"/>
        <v>0.99999999999999978</v>
      </c>
      <c r="AW8" s="63">
        <f t="shared" si="1"/>
        <v>1.0999999999999999</v>
      </c>
      <c r="AX8" s="63">
        <f t="shared" si="1"/>
        <v>1.2</v>
      </c>
      <c r="AY8" s="63">
        <f t="shared" si="1"/>
        <v>1.3</v>
      </c>
    </row>
    <row r="9" spans="1:51" ht="15" thickBot="1" x14ac:dyDescent="0.35">
      <c r="D9">
        <v>2</v>
      </c>
      <c r="E9" s="6">
        <v>1</v>
      </c>
      <c r="F9" s="47">
        <v>2.4</v>
      </c>
      <c r="G9" s="37">
        <f t="shared" ca="1" si="0"/>
        <v>16.734772654786067</v>
      </c>
      <c r="H9" s="40">
        <f ca="1"/>
        <v>18.717883397945666</v>
      </c>
      <c r="I9" s="40">
        <f ca="1"/>
        <v>15.067932729001578</v>
      </c>
      <c r="J9" s="17">
        <f ca="1"/>
        <v>-1.9831107431595996</v>
      </c>
      <c r="K9" s="60">
        <f ca="1"/>
        <v>3.9327282196350191</v>
      </c>
      <c r="L9" s="17">
        <f t="shared" ref="L9:L17" ca="1" si="2">$G9-J9</f>
        <v>18.717883397945666</v>
      </c>
      <c r="M9" s="60">
        <f t="shared" ref="M9" ca="1" si="3">L9^2</f>
        <v>350.35915889909</v>
      </c>
      <c r="AA9" s="64">
        <f>w_d1-2</f>
        <v>3</v>
      </c>
    </row>
    <row r="10" spans="1:51" ht="15.75" customHeight="1" thickBot="1" x14ac:dyDescent="0.35">
      <c r="A10" s="83" t="s">
        <v>24</v>
      </c>
      <c r="B10" s="84">
        <v>10</v>
      </c>
      <c r="D10">
        <v>3</v>
      </c>
      <c r="E10" s="6">
        <v>1</v>
      </c>
      <c r="F10" s="47">
        <v>5.3</v>
      </c>
      <c r="G10" s="37">
        <f t="shared" ca="1" si="0"/>
        <v>32.415837294141916</v>
      </c>
      <c r="H10" s="40">
        <f ca="1"/>
        <v>33.434491734686119</v>
      </c>
      <c r="I10" s="40">
        <f ca="1"/>
        <v>32.083651470240717</v>
      </c>
      <c r="J10" s="17">
        <f ca="1"/>
        <v>-1.0186544405442035</v>
      </c>
      <c r="K10" s="60">
        <f ca="1"/>
        <v>1.0376568692404242</v>
      </c>
      <c r="L10" s="17">
        <f t="shared" ca="1" si="2"/>
        <v>33.434491734686119</v>
      </c>
      <c r="M10" s="60">
        <f t="shared" ref="M10" ca="1" si="4">L10^2</f>
        <v>1117.8652375567945</v>
      </c>
      <c r="AA10" s="65">
        <f>AA9+0.1</f>
        <v>3.1</v>
      </c>
    </row>
    <row r="11" spans="1:51" ht="15.75" customHeight="1" thickBot="1" x14ac:dyDescent="0.35">
      <c r="A11" s="83"/>
      <c r="B11" s="84"/>
      <c r="D11">
        <v>4</v>
      </c>
      <c r="E11" s="6">
        <v>1</v>
      </c>
      <c r="F11" s="47">
        <v>6.1</v>
      </c>
      <c r="G11" s="37">
        <f t="shared" ca="1" si="0"/>
        <v>34.023233113632969</v>
      </c>
      <c r="H11" s="40">
        <f ca="1"/>
        <v>37.494245758614511</v>
      </c>
      <c r="I11" s="40">
        <f ca="1"/>
        <v>36.777642847134267</v>
      </c>
      <c r="J11" s="17">
        <f ca="1"/>
        <v>-3.4710126449815419</v>
      </c>
      <c r="K11" s="60">
        <f ca="1"/>
        <v>12.04792878162176</v>
      </c>
      <c r="L11" s="17">
        <f t="shared" ca="1" si="2"/>
        <v>37.494245758614511</v>
      </c>
      <c r="M11" s="60">
        <f t="shared" ref="M11" ca="1" si="5">L11^2</f>
        <v>1405.8184650073822</v>
      </c>
      <c r="AA11" s="65">
        <f t="shared" ref="AA11:AA32" si="6">AA10+0.1</f>
        <v>3.2</v>
      </c>
    </row>
    <row r="12" spans="1:51" ht="15.75" customHeight="1" thickBot="1" x14ac:dyDescent="0.35">
      <c r="A12" s="57"/>
      <c r="B12" s="67"/>
      <c r="D12">
        <v>5</v>
      </c>
      <c r="E12" s="6">
        <v>1</v>
      </c>
      <c r="F12" s="47">
        <v>3.2</v>
      </c>
      <c r="G12" s="37">
        <f t="shared" ca="1" si="0"/>
        <v>24.576295202927493</v>
      </c>
      <c r="H12" s="40">
        <f ca="1"/>
        <v>22.777637421874068</v>
      </c>
      <c r="I12" s="40">
        <f ca="1"/>
        <v>19.761924105895133</v>
      </c>
      <c r="J12" s="17">
        <f ca="1"/>
        <v>1.798657781053425</v>
      </c>
      <c r="K12" s="60">
        <f ca="1"/>
        <v>3.2351698133440308</v>
      </c>
      <c r="L12" s="17">
        <f t="shared" ca="1" si="2"/>
        <v>22.777637421874068</v>
      </c>
      <c r="M12" s="60">
        <f t="shared" ref="M12" ca="1" si="7">L12^2</f>
        <v>518.82076652235799</v>
      </c>
      <c r="AA12" s="65">
        <f t="shared" si="6"/>
        <v>3.3000000000000003</v>
      </c>
    </row>
    <row r="13" spans="1:51" ht="15.75" customHeight="1" thickBot="1" x14ac:dyDescent="0.35">
      <c r="A13" s="57"/>
      <c r="B13" s="67"/>
      <c r="D13">
        <v>6</v>
      </c>
      <c r="E13" s="6">
        <v>1</v>
      </c>
      <c r="F13" s="47">
        <v>4.2</v>
      </c>
      <c r="G13" s="37">
        <f t="shared" ca="1" si="0"/>
        <v>33.234405543311212</v>
      </c>
      <c r="H13" s="40">
        <f ca="1"/>
        <v>27.852329951784569</v>
      </c>
      <c r="I13" s="40">
        <f ca="1"/>
        <v>25.629413327012081</v>
      </c>
      <c r="J13" s="17">
        <f ca="1"/>
        <v>5.3820755915266432</v>
      </c>
      <c r="K13" s="60">
        <f ca="1"/>
        <v>28.966737672906866</v>
      </c>
      <c r="L13" s="17">
        <f t="shared" ca="1" si="2"/>
        <v>27.852329951784569</v>
      </c>
      <c r="M13" s="60">
        <f t="shared" ref="M13" ca="1" si="8">L13^2</f>
        <v>775.75228374307574</v>
      </c>
      <c r="AA13" s="65">
        <f t="shared" si="6"/>
        <v>3.4000000000000004</v>
      </c>
    </row>
    <row r="14" spans="1:51" ht="15" thickBot="1" x14ac:dyDescent="0.35">
      <c r="D14">
        <v>7</v>
      </c>
      <c r="E14" s="6">
        <v>1</v>
      </c>
      <c r="F14" s="47">
        <v>8.5</v>
      </c>
      <c r="G14" s="37">
        <f t="shared" ca="1" si="0"/>
        <v>52.19514449723161</v>
      </c>
      <c r="H14" s="40">
        <f ca="1"/>
        <v>49.673507830399714</v>
      </c>
      <c r="I14" s="40">
        <f ca="1"/>
        <v>50.859616977814937</v>
      </c>
      <c r="J14" s="17">
        <f ca="1"/>
        <v>2.5216366668318955</v>
      </c>
      <c r="K14" s="60">
        <f ca="1"/>
        <v>6.3586514795110718</v>
      </c>
      <c r="L14" s="17">
        <f t="shared" ca="1" si="2"/>
        <v>49.673507830399714</v>
      </c>
      <c r="M14" s="60">
        <f t="shared" ref="M14" ca="1" si="9">L14^2</f>
        <v>2467.4573801767815</v>
      </c>
      <c r="AA14" s="65">
        <f t="shared" si="6"/>
        <v>3.5000000000000004</v>
      </c>
    </row>
    <row r="15" spans="1:51" ht="15" thickBot="1" x14ac:dyDescent="0.35">
      <c r="D15">
        <v>8</v>
      </c>
      <c r="E15" s="6">
        <v>1</v>
      </c>
      <c r="F15" s="47">
        <v>7.8</v>
      </c>
      <c r="G15" s="37">
        <f t="shared" ca="1" si="0"/>
        <v>45.623561756455189</v>
      </c>
      <c r="H15" s="40">
        <f ca="1"/>
        <v>46.121223059462366</v>
      </c>
      <c r="I15" s="40">
        <f ca="1"/>
        <v>46.752374523033076</v>
      </c>
      <c r="J15" s="17">
        <f ca="1"/>
        <v>-0.49766130300717748</v>
      </c>
      <c r="K15" s="60">
        <f ca="1"/>
        <v>0.24766677251080171</v>
      </c>
      <c r="L15" s="17">
        <f t="shared" ca="1" si="2"/>
        <v>46.121223059462366</v>
      </c>
      <c r="M15" s="60">
        <f t="shared" ref="M15" ca="1" si="10">L15^2</f>
        <v>2127.167216500683</v>
      </c>
      <c r="AA15" s="65">
        <f t="shared" si="6"/>
        <v>3.6000000000000005</v>
      </c>
    </row>
    <row r="16" spans="1:51" ht="15" thickBot="1" x14ac:dyDescent="0.35">
      <c r="D16">
        <v>9</v>
      </c>
      <c r="E16" s="6">
        <v>1</v>
      </c>
      <c r="F16" s="47">
        <v>8.67</v>
      </c>
      <c r="G16" s="37">
        <f t="shared" ca="1" si="0"/>
        <v>48.023578522920694</v>
      </c>
      <c r="H16" s="40">
        <f ca="1"/>
        <v>50.536205560484504</v>
      </c>
      <c r="I16" s="40">
        <f ca="1"/>
        <v>51.857090145404818</v>
      </c>
      <c r="J16" s="17">
        <f ca="1"/>
        <v>-2.51262703756381</v>
      </c>
      <c r="K16" s="60">
        <f ca="1"/>
        <v>6.3132946298966877</v>
      </c>
      <c r="L16" s="17">
        <f t="shared" ca="1" si="2"/>
        <v>50.536205560484504</v>
      </c>
      <c r="M16" s="60">
        <f t="shared" ref="M16" ca="1" si="11">L16^2</f>
        <v>2553.9080724515447</v>
      </c>
      <c r="AA16" s="65">
        <f t="shared" si="6"/>
        <v>3.7000000000000006</v>
      </c>
    </row>
    <row r="17" spans="2:27" ht="15" thickBot="1" x14ac:dyDescent="0.35">
      <c r="D17">
        <v>10</v>
      </c>
      <c r="E17" s="7">
        <v>1</v>
      </c>
      <c r="F17" s="48">
        <v>9.52</v>
      </c>
      <c r="G17" s="38">
        <f t="shared" ca="1" si="0"/>
        <v>55.865920237563493</v>
      </c>
      <c r="H17" s="41">
        <f ca="1"/>
        <v>54.849694210908424</v>
      </c>
      <c r="I17" s="41">
        <f ca="1"/>
        <v>56.844455983354223</v>
      </c>
      <c r="J17" s="17">
        <f ca="1"/>
        <v>1.0162260266550689</v>
      </c>
      <c r="K17" s="61">
        <f ca="1"/>
        <v>1.0327153372511488</v>
      </c>
      <c r="L17" s="17">
        <f t="shared" ca="1" si="2"/>
        <v>54.849694210908424</v>
      </c>
      <c r="M17" s="61">
        <f t="shared" ref="M17" ca="1" si="12">L17^2</f>
        <v>3008.4889550301609</v>
      </c>
      <c r="AA17" s="65">
        <f t="shared" si="6"/>
        <v>3.8000000000000007</v>
      </c>
    </row>
    <row r="18" spans="2:27" ht="23" x14ac:dyDescent="0.5">
      <c r="E18" s="66" t="s">
        <v>13</v>
      </c>
      <c r="F18" s="66"/>
      <c r="G18" s="66"/>
      <c r="H18" s="39">
        <f ca="1">SUMPRODUCT((t-y_ls)^2,x0)/(2*N)</f>
        <v>3.2349541850915373</v>
      </c>
      <c r="I18" s="39">
        <f ca="1">SUMPRODUCT((t-y_GD)^2,x0)/(2*N)</f>
        <v>5.8831027375836431</v>
      </c>
      <c r="K18" s="58">
        <f ca="1">AVERAGE(K8:K17)/2</f>
        <v>3.2349541850915373</v>
      </c>
      <c r="AA18" s="65">
        <f t="shared" si="6"/>
        <v>3.9000000000000008</v>
      </c>
    </row>
    <row r="19" spans="2:27" ht="13" x14ac:dyDescent="0.3">
      <c r="G19" s="35"/>
      <c r="H19" s="36"/>
      <c r="I19" s="36"/>
      <c r="AA19" s="65">
        <f t="shared" si="6"/>
        <v>4.0000000000000009</v>
      </c>
    </row>
    <row r="20" spans="2:27" ht="20.25" customHeight="1" thickBot="1" x14ac:dyDescent="0.35">
      <c r="AA20" s="65">
        <f t="shared" si="6"/>
        <v>4.1000000000000005</v>
      </c>
    </row>
    <row r="21" spans="2:27" ht="28.5" customHeight="1" x14ac:dyDescent="0.3">
      <c r="E21" s="70" t="s">
        <v>6</v>
      </c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6"/>
      <c r="AA21" s="65">
        <f t="shared" si="6"/>
        <v>4.2</v>
      </c>
    </row>
    <row r="22" spans="2:27" ht="13.5" thickBot="1" x14ac:dyDescent="0.35">
      <c r="E22" s="72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7"/>
      <c r="AA22" s="65">
        <f t="shared" si="6"/>
        <v>4.3</v>
      </c>
    </row>
    <row r="23" spans="2:27" ht="13.5" thickBot="1" x14ac:dyDescent="0.35">
      <c r="AA23" s="65">
        <f t="shared" si="6"/>
        <v>4.3999999999999995</v>
      </c>
    </row>
    <row r="24" spans="2:27" ht="13" x14ac:dyDescent="0.3">
      <c r="D24" s="68" t="s">
        <v>10</v>
      </c>
      <c r="E24" s="22">
        <f t="array" ref="E24:N25">TRANSPOSE(X)</f>
        <v>1</v>
      </c>
      <c r="F24" s="23">
        <v>1</v>
      </c>
      <c r="G24" s="23">
        <v>1</v>
      </c>
      <c r="H24" s="23">
        <v>1</v>
      </c>
      <c r="I24" s="23">
        <v>1</v>
      </c>
      <c r="J24" s="23">
        <v>1</v>
      </c>
      <c r="K24" s="23">
        <v>1</v>
      </c>
      <c r="L24" s="23">
        <v>1</v>
      </c>
      <c r="M24" s="23">
        <v>1</v>
      </c>
      <c r="N24" s="23">
        <v>1</v>
      </c>
      <c r="O24" s="13"/>
      <c r="P24" s="13"/>
      <c r="Q24" s="13"/>
      <c r="R24" s="14"/>
      <c r="AA24" s="65">
        <f t="shared" si="6"/>
        <v>4.4999999999999991</v>
      </c>
    </row>
    <row r="25" spans="2:27" ht="13" x14ac:dyDescent="0.3">
      <c r="D25" s="68"/>
      <c r="E25" s="20">
        <v>2</v>
      </c>
      <c r="F25" s="21">
        <v>2.4</v>
      </c>
      <c r="G25" s="21">
        <v>5.3</v>
      </c>
      <c r="H25" s="21">
        <v>6.1</v>
      </c>
      <c r="I25" s="21">
        <v>3.2</v>
      </c>
      <c r="J25" s="21">
        <v>4.2</v>
      </c>
      <c r="K25" s="21">
        <v>8.5</v>
      </c>
      <c r="L25" s="21">
        <v>7.8</v>
      </c>
      <c r="M25" s="21">
        <v>8.67</v>
      </c>
      <c r="N25" s="21">
        <v>9.52</v>
      </c>
      <c r="O25" s="15"/>
      <c r="P25" s="15"/>
      <c r="Q25" s="15"/>
      <c r="R25" s="16"/>
      <c r="AA25" s="65">
        <f t="shared" si="6"/>
        <v>4.5999999999999988</v>
      </c>
    </row>
    <row r="26" spans="2:27" ht="13" x14ac:dyDescent="0.3">
      <c r="E26" s="17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6"/>
      <c r="AA26" s="65">
        <f t="shared" si="6"/>
        <v>4.6999999999999984</v>
      </c>
    </row>
    <row r="27" spans="2:27" ht="13" x14ac:dyDescent="0.3">
      <c r="C27" s="78" t="s">
        <v>9</v>
      </c>
      <c r="D27" s="78"/>
      <c r="E27" s="20">
        <f t="array" ref="E27:F28">MMULT(XT,X)</f>
        <v>10</v>
      </c>
      <c r="F27" s="21">
        <v>57.69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6"/>
      <c r="AA27" s="65">
        <f t="shared" si="6"/>
        <v>4.799999999999998</v>
      </c>
    </row>
    <row r="28" spans="2:27" ht="13" x14ac:dyDescent="0.3">
      <c r="C28" s="78"/>
      <c r="D28" s="78"/>
      <c r="E28" s="20">
        <v>57.69</v>
      </c>
      <c r="F28" s="21">
        <v>401.82929999999999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6"/>
      <c r="AA28" s="65">
        <f t="shared" si="6"/>
        <v>4.8999999999999977</v>
      </c>
    </row>
    <row r="29" spans="2:27" ht="13" x14ac:dyDescent="0.3">
      <c r="E29" s="17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6"/>
      <c r="AA29" s="65">
        <f t="shared" si="6"/>
        <v>4.9999999999999973</v>
      </c>
    </row>
    <row r="30" spans="2:27" ht="16.5" customHeight="1" x14ac:dyDescent="0.85">
      <c r="B30" s="79" t="s">
        <v>7</v>
      </c>
      <c r="C30" s="79"/>
      <c r="D30" s="79"/>
      <c r="E30" s="20">
        <f t="array" ref="E30:F31">MINVERSE(XTX)</f>
        <v>0.58222891055642523</v>
      </c>
      <c r="F30" s="21">
        <v>-8.3589688083970409E-2</v>
      </c>
      <c r="G30" s="15"/>
      <c r="H30" s="15"/>
      <c r="I30" s="80" t="s">
        <v>11</v>
      </c>
      <c r="J30" s="21">
        <f t="array" aca="1" ref="J30:J31" ca="1">MMULT(XT,t)</f>
        <v>358.14522531214146</v>
      </c>
      <c r="K30" s="42"/>
      <c r="L30" s="68" t="s">
        <v>8</v>
      </c>
      <c r="M30" s="68"/>
      <c r="N30" s="68"/>
      <c r="O30" s="27" t="s">
        <v>14</v>
      </c>
      <c r="P30" s="21">
        <f t="array" aca="1" ref="P30:P31" ca="1">MMULT(XTX1,XTt)</f>
        <v>6.5386213261604667</v>
      </c>
      <c r="Q30" s="15"/>
      <c r="R30" s="16"/>
      <c r="AA30" s="65">
        <f t="shared" si="6"/>
        <v>5.099999999999997</v>
      </c>
    </row>
    <row r="31" spans="2:27" ht="21" customHeight="1" thickBot="1" x14ac:dyDescent="0.9">
      <c r="B31" s="79"/>
      <c r="C31" s="79"/>
      <c r="D31" s="79"/>
      <c r="E31" s="33">
        <v>-8.3589688083970409E-2</v>
      </c>
      <c r="F31" s="34">
        <v>1.4489458846242056E-2</v>
      </c>
      <c r="G31" s="18"/>
      <c r="H31" s="18"/>
      <c r="I31" s="81"/>
      <c r="J31" s="34">
        <f ca="1"/>
        <v>2416.3732113153628</v>
      </c>
      <c r="K31" s="43"/>
      <c r="L31" s="69"/>
      <c r="M31" s="69"/>
      <c r="N31" s="69"/>
      <c r="O31" s="44" t="s">
        <v>15</v>
      </c>
      <c r="P31" s="34">
        <f ca="1"/>
        <v>5.0746925299105001</v>
      </c>
      <c r="Q31" s="18"/>
      <c r="R31" s="19"/>
      <c r="AA31" s="65">
        <f t="shared" si="6"/>
        <v>5.1999999999999966</v>
      </c>
    </row>
    <row r="32" spans="2:27" ht="23.25" customHeight="1" x14ac:dyDescent="0.85">
      <c r="D32" s="68" t="s">
        <v>17</v>
      </c>
      <c r="E32" s="30" t="s">
        <v>14</v>
      </c>
      <c r="F32" s="49">
        <f t="array" aca="1" ref="F32:F33" ca="1">MMULT(MINVERSE(MMULT(TRANSPOSE(X),X)), MMULT(TRANSPOSE(X),t))</f>
        <v>6.5386213261604667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AA32" s="65">
        <f t="shared" si="6"/>
        <v>5.2999999999999963</v>
      </c>
    </row>
    <row r="33" spans="3:45" ht="20.25" customHeight="1" x14ac:dyDescent="0.85">
      <c r="D33" s="68"/>
      <c r="E33" s="27" t="s">
        <v>15</v>
      </c>
      <c r="F33" s="50">
        <f ca="1"/>
        <v>5.0746925299105001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</row>
    <row r="34" spans="3:45" ht="13" thickBot="1" x14ac:dyDescent="0.3"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</row>
    <row r="35" spans="3:45" x14ac:dyDescent="0.25">
      <c r="C35" s="74" t="s">
        <v>12</v>
      </c>
      <c r="D35" s="74" t="s">
        <v>18</v>
      </c>
      <c r="E35" s="70" t="s">
        <v>19</v>
      </c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9"/>
      <c r="T35" s="9"/>
      <c r="U35" s="9"/>
      <c r="V35" s="9"/>
      <c r="W35" s="9"/>
      <c r="X35" s="9"/>
      <c r="Y35" s="10"/>
    </row>
    <row r="36" spans="3:45" ht="21" customHeight="1" thickBot="1" x14ac:dyDescent="0.3">
      <c r="C36" s="74"/>
      <c r="D36" s="74"/>
      <c r="E36" s="72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11"/>
      <c r="T36" s="11"/>
      <c r="U36" s="11"/>
      <c r="V36" s="11"/>
      <c r="W36" s="11"/>
      <c r="X36" s="11"/>
      <c r="Y36" s="12"/>
      <c r="AJ36" t="s">
        <v>22</v>
      </c>
    </row>
    <row r="37" spans="3:45" ht="12" customHeight="1" thickBot="1" x14ac:dyDescent="0.3">
      <c r="C37" s="45">
        <v>5.0000000000000001E-3</v>
      </c>
      <c r="D37">
        <f>eta/N</f>
        <v>5.0000000000000001E-4</v>
      </c>
      <c r="E37" s="25"/>
      <c r="F37" s="25">
        <v>1</v>
      </c>
      <c r="G37" s="25">
        <v>2</v>
      </c>
      <c r="H37" s="25">
        <v>3</v>
      </c>
      <c r="I37" s="25">
        <v>4</v>
      </c>
      <c r="J37" s="25">
        <v>5</v>
      </c>
      <c r="K37" s="25">
        <v>6</v>
      </c>
      <c r="L37" s="25">
        <v>7</v>
      </c>
      <c r="M37" s="25">
        <v>8</v>
      </c>
      <c r="N37" s="25">
        <v>9</v>
      </c>
      <c r="O37" s="25">
        <v>10</v>
      </c>
      <c r="P37" s="25">
        <v>11</v>
      </c>
      <c r="Q37" s="25">
        <v>12</v>
      </c>
      <c r="R37" s="25">
        <v>13</v>
      </c>
      <c r="S37" s="25">
        <v>14</v>
      </c>
      <c r="T37" s="25">
        <v>15</v>
      </c>
      <c r="U37" s="25">
        <v>16</v>
      </c>
      <c r="V37" s="25">
        <v>17</v>
      </c>
      <c r="W37" s="25">
        <v>18</v>
      </c>
      <c r="X37" s="25">
        <v>19</v>
      </c>
      <c r="Y37" s="25">
        <v>20</v>
      </c>
      <c r="Z37" s="25">
        <v>21</v>
      </c>
      <c r="AA37" s="25">
        <v>22</v>
      </c>
      <c r="AB37" s="25">
        <v>23</v>
      </c>
      <c r="AC37" s="25">
        <v>24</v>
      </c>
      <c r="AD37" s="25">
        <v>25</v>
      </c>
      <c r="AE37" s="25">
        <v>26</v>
      </c>
      <c r="AF37" s="25">
        <v>27</v>
      </c>
      <c r="AG37" s="25">
        <v>28</v>
      </c>
      <c r="AH37" s="25">
        <v>29</v>
      </c>
      <c r="AI37" s="25">
        <v>30</v>
      </c>
      <c r="AJ37" s="25">
        <v>31</v>
      </c>
      <c r="AK37" s="25">
        <v>32</v>
      </c>
      <c r="AL37" s="25">
        <v>33</v>
      </c>
      <c r="AM37" s="25">
        <v>34</v>
      </c>
      <c r="AN37" s="25">
        <v>35</v>
      </c>
      <c r="AO37" s="25">
        <v>36</v>
      </c>
      <c r="AP37" s="25">
        <v>37</v>
      </c>
      <c r="AQ37" s="25">
        <v>38</v>
      </c>
      <c r="AR37" s="25">
        <v>39</v>
      </c>
      <c r="AS37" s="25">
        <v>40</v>
      </c>
    </row>
    <row r="38" spans="3:45" ht="37.5" customHeight="1" x14ac:dyDescent="0.85">
      <c r="D38" s="68" t="s">
        <v>16</v>
      </c>
      <c r="E38" s="26" t="s">
        <v>14</v>
      </c>
      <c r="F38" s="28">
        <v>0</v>
      </c>
      <c r="G38" s="51">
        <f t="array" aca="1" ref="G38:G39" ca="1">F38:F39+etaN*MMULT(TRANSPOSE(X),t-MMULT(X,F38:F39))</f>
        <v>0.17907261265607075</v>
      </c>
      <c r="H38" s="51">
        <f t="array" aca="1" ref="H38:H39" ca="1">G38:G39+etaN*MMULT(TRANSPOSE(X),t-MMULT(X,G38:G39))</f>
        <v>0.32239971960866531</v>
      </c>
      <c r="I38" s="51">
        <f t="array" aca="1" ref="I38:I39" ca="1">H38:H39+etaN*MMULT(TRANSPOSE(X),t-MMULT(X,H38:H39))</f>
        <v>0.43731094710398161</v>
      </c>
      <c r="J38" s="51">
        <f t="array" aca="1" ref="J38:J39" ca="1">I38:I39+etaN*MMULT(TRANSPOSE(X),t-MMULT(X,I38:I39))</f>
        <v>0.52963281146695218</v>
      </c>
      <c r="K38" s="51">
        <f t="array" aca="1" ref="K38:K39" ca="1">J38:J39+etaN*MMULT(TRANSPOSE(X),t-MMULT(X,J38:J39))</f>
        <v>0.60399696680656101</v>
      </c>
      <c r="L38" s="51">
        <f t="array" aca="1" ref="L38:L39" ca="1">K38:K39+etaN*MMULT(TRANSPOSE(X),t-MMULT(X,K38:K39))</f>
        <v>0.66408523934822783</v>
      </c>
      <c r="M38" s="51">
        <f t="array" aca="1" ref="M38:M39" ca="1">L38:L39+etaN*MMULT(TRANSPOSE(X),t-MMULT(X,L38:L39))</f>
        <v>0.71282441176800182</v>
      </c>
      <c r="N38" s="51">
        <f t="array" aca="1" ref="N38:N39" ca="1">M38:M39+etaN*MMULT(TRANSPOSE(X),t-MMULT(X,M38:M39))</f>
        <v>0.75254106246132146</v>
      </c>
      <c r="O38" s="51">
        <f t="array" aca="1" ref="O38:O39" ca="1">N38:N39+etaN*MMULT(TRANSPOSE(X),t-MMULT(X,N38:N39))</f>
        <v>0.78508465141257056</v>
      </c>
      <c r="P38" s="51">
        <f t="array" aca="1" ref="P38:P39" ca="1">O38:O39+etaN*MMULT(TRANSPOSE(X),t-MMULT(X,O38:O39))</f>
        <v>0.81192536443966579</v>
      </c>
      <c r="Q38" s="51">
        <f t="array" aca="1" ref="Q38:Q39" ca="1">P38:P39+etaN*MMULT(TRANSPOSE(X),t-MMULT(X,P38:P39))</f>
        <v>0.8342318921969063</v>
      </c>
      <c r="R38" s="51">
        <f t="array" aca="1" ref="R38:R39" ca="1">Q38:Q39+etaN*MMULT(TRANSPOSE(X),t-MMULT(X,Q38:Q39))</f>
        <v>0.85293325878134529</v>
      </c>
      <c r="S38" s="51">
        <f t="array" aca="1" ref="S38:S39" ca="1">R38:R39+etaN*MMULT(TRANSPOSE(X),t-MMULT(X,R38:R39))</f>
        <v>0.86876797094306213</v>
      </c>
      <c r="T38" s="51">
        <f t="array" aca="1" ref="T38:T39" ca="1">S38:S39+etaN*MMULT(TRANSPOSE(X),t-MMULT(X,S38:S39))</f>
        <v>0.88232308810488569</v>
      </c>
      <c r="U38" s="51">
        <f t="array" aca="1" ref="U38:U39" ca="1">T38:T39+etaN*MMULT(TRANSPOSE(X),t-MMULT(X,T38:T39))</f>
        <v>0.89406528016439624</v>
      </c>
      <c r="V38" s="51">
        <f t="array" aca="1" ref="V38:V39" ca="1">U38:U39+etaN*MMULT(TRANSPOSE(X),t-MMULT(X,U38:U39))</f>
        <v>0.90436551617010286</v>
      </c>
      <c r="W38" s="51">
        <f t="array" aca="1" ref="W38:W39" ca="1">V38:V39+etaN*MMULT(TRANSPOSE(X),t-MMULT(X,V38:V39))</f>
        <v>0.91351869000942221</v>
      </c>
      <c r="X38" s="51">
        <f t="array" aca="1" ref="X38:X39" ca="1">W38:W39+etaN*MMULT(TRANSPOSE(X),t-MMULT(X,W38:W39))</f>
        <v>0.9217592213921364</v>
      </c>
      <c r="Y38" s="51">
        <f t="array" aca="1" ref="Y38:Y39" ca="1">X38:X39+etaN*MMULT(TRANSPOSE(X),t-MMULT(X,X38:X39))</f>
        <v>0.92927345748875201</v>
      </c>
      <c r="Z38" s="51">
        <f t="array" aca="1" ref="Z38:Z39" ca="1">Y38:Y39+etaN*MMULT(TRANSPOSE(X),t-MMULT(X,Y38:Y39))</f>
        <v>0.9362095313240042</v>
      </c>
      <c r="AA38" s="51">
        <f t="array" aca="1" ref="AA38:AA39" ca="1">Z38:Z39+etaN*MMULT(TRANSPOSE(X),t-MMULT(X,Z38:Z39))</f>
        <v>0.9426851984771123</v>
      </c>
      <c r="AB38" s="51">
        <f t="array" aca="1" ref="AB38:AB39" ca="1">AA38:AA39+etaN*MMULT(TRANSPOSE(X),t-MMULT(X,AA38:AA39))</f>
        <v>0.94879406668408361</v>
      </c>
      <c r="AC38" s="51">
        <f t="array" aca="1" ref="AC38:AC39" ca="1">AB38:AB39+etaN*MMULT(TRANSPOSE(X),t-MMULT(X,AB38:AB39))</f>
        <v>0.95461054791494027</v>
      </c>
      <c r="AD38" s="51">
        <f t="array" aca="1" ref="AD38:AD39" ca="1">AC38:AC39+etaN*MMULT(TRANSPOSE(X),t-MMULT(X,AC38:AC39))</f>
        <v>0.96019379491214751</v>
      </c>
      <c r="AE38" s="51">
        <f t="array" aca="1" ref="AE38:AE39" ca="1">AD38:AD39+etaN*MMULT(TRANSPOSE(X),t-MMULT(X,AD38:AD39))</f>
        <v>0.96559083045013139</v>
      </c>
      <c r="AF38" s="51">
        <f t="array" aca="1" ref="AF38:AF39" ca="1">AE38:AE39+etaN*MMULT(TRANSPOSE(X),t-MMULT(X,AE38:AE39))</f>
        <v>0.970839034867234</v>
      </c>
      <c r="AG38" s="51">
        <f t="array" aca="1" ref="AG38:AG39" ca="1">AF38:AF39+etaN*MMULT(TRANSPOSE(X),t-MMULT(X,AF38:AF39))</f>
        <v>0.97596812347129169</v>
      </c>
      <c r="AH38" s="51">
        <f t="array" aca="1" ref="AH38:AH39" ca="1">AG38:AG39+etaN*MMULT(TRANSPOSE(X),t-MMULT(X,AG38:AG39))</f>
        <v>0.98100171843213435</v>
      </c>
      <c r="AI38" s="52">
        <f t="array" aca="1" ref="AI38:AI39" ca="1">AH38:AH39+etaN*MMULT(TRANSPOSE(X),t-MMULT(X,AH38:AH39))</f>
        <v>0.98595859832090904</v>
      </c>
      <c r="AJ38" s="53">
        <f t="array" aca="1" ref="AJ38:AJ39" ca="1">AI38:AI39+etaN*MMULT(TRANSPOSE(X),t-MMULT(X,AI38:AI39))</f>
        <v>0.99085369140225699</v>
      </c>
      <c r="AK38" s="51">
        <f t="array" aca="1" ref="AK38:AK39" ca="1">AJ38:AJ39+etaN*MMULT(TRANSPOSE(X),t-MMULT(X,AJ38:AJ39))</f>
        <v>0.99569886522878959</v>
      </c>
      <c r="AL38" s="51">
        <f t="array" aca="1" ref="AL38:AL39" ca="1">AK38:AK39+etaN*MMULT(TRANSPOSE(X),t-MMULT(X,AK38:AK39))</f>
        <v>1.0005035543108238</v>
      </c>
      <c r="AM38" s="51">
        <f t="array" aca="1" ref="AM38:AM39" ca="1">AL38:AL39+etaN*MMULT(TRANSPOSE(X),t-MMULT(X,AL38:AL39))</f>
        <v>1.0052752590678165</v>
      </c>
      <c r="AN38" s="51">
        <f t="array" aca="1" ref="AN38:AN39" ca="1">AM38:AM39+etaN*MMULT(TRANSPOSE(X),t-MMULT(X,AM38:AM39))</f>
        <v>1.0100199424581833</v>
      </c>
      <c r="AO38" s="51">
        <f t="array" aca="1" ref="AO38:AO39" ca="1">AN38:AN39+etaN*MMULT(TRANSPOSE(X),t-MMULT(X,AN38:AN39))</f>
        <v>1.0147423452709348</v>
      </c>
      <c r="AP38" s="51">
        <f t="array" aca="1" ref="AP38:AP39" ca="1">AO38:AO39+etaN*MMULT(TRANSPOSE(X),t-MMULT(X,AO38:AO39))</f>
        <v>1.0194462367594175</v>
      </c>
      <c r="AQ38" s="51">
        <f t="array" aca="1" ref="AQ38:AQ39" ca="1">AP38:AP39+etaN*MMULT(TRANSPOSE(X),t-MMULT(X,AP38:AP39))</f>
        <v>1.0241346138767677</v>
      </c>
      <c r="AR38" s="51">
        <f t="array" aca="1" ref="AR38:AR39" ca="1">AQ38:AQ39+etaN*MMULT(TRANSPOSE(X),t-MMULT(X,AQ38:AQ39))</f>
        <v>1.0288098596534954</v>
      </c>
      <c r="AS38" s="51">
        <f t="array" aca="1" ref="AS38:AS39" ca="1">AR38:AR39+etaN*MMULT(TRANSPOSE(X),t-MMULT(X,AR38:AR39))</f>
        <v>1.0334738690960543</v>
      </c>
    </row>
    <row r="39" spans="3:45" ht="31" thickBot="1" x14ac:dyDescent="0.9">
      <c r="D39" s="68"/>
      <c r="E39" s="31" t="s">
        <v>15</v>
      </c>
      <c r="F39" s="29">
        <v>0</v>
      </c>
      <c r="G39" s="54">
        <f ca="1"/>
        <v>1.2081866056576815</v>
      </c>
      <c r="H39" s="54">
        <f ca="1"/>
        <v>2.1684654727928971</v>
      </c>
      <c r="I39" s="54">
        <f ca="1"/>
        <v>2.931675977035197</v>
      </c>
      <c r="J39" s="54">
        <f ca="1"/>
        <v>3.5382316955842295</v>
      </c>
      <c r="K39" s="54">
        <f ca="1"/>
        <v>4.0202584600579341</v>
      </c>
      <c r="L39" s="54">
        <f ca="1"/>
        <v>4.4032939517960017</v>
      </c>
      <c r="M39" s="54">
        <f ca="1"/>
        <v>4.7076387555524732</v>
      </c>
      <c r="N39" s="54">
        <f ca="1"/>
        <v>4.9494303481544462</v>
      </c>
      <c r="O39" s="54">
        <f ca="1"/>
        <v>5.1414968407666022</v>
      </c>
      <c r="P39" s="54">
        <f ca="1"/>
        <v>5.2940356414155607</v>
      </c>
      <c r="Q39" s="54">
        <f ca="1"/>
        <v>5.4151529419534468</v>
      </c>
      <c r="R39" s="54">
        <f ca="1"/>
        <v>5.5112925706516611</v>
      </c>
      <c r="S39" s="54">
        <f ca="1"/>
        <v>5.5875768985797158</v>
      </c>
      <c r="T39" s="54">
        <f ca="1"/>
        <v>5.6480778351893157</v>
      </c>
      <c r="U39" s="54">
        <f ca="1"/>
        <v>5.6960322499407923</v>
      </c>
      <c r="V39" s="54">
        <f ca="1"/>
        <v>5.7340132167065647</v>
      </c>
      <c r="W39" s="54">
        <f ca="1"/>
        <v>5.7640661405203462</v>
      </c>
      <c r="X39" s="54">
        <f ca="1"/>
        <v>5.7878169683652096</v>
      </c>
      <c r="Y39" s="54">
        <f ca="1"/>
        <v>5.8065582088186778</v>
      </c>
      <c r="Z39" s="54">
        <f ca="1"/>
        <v>5.8213173113656644</v>
      </c>
      <c r="AA39" s="54">
        <f ca="1"/>
        <v>5.8329110229403316</v>
      </c>
      <c r="AB39" s="54">
        <f ca="1"/>
        <v>5.8419885973927421</v>
      </c>
      <c r="AC39" s="54">
        <f ca="1"/>
        <v>5.8490661438477671</v>
      </c>
      <c r="AD39" s="54">
        <f ca="1"/>
        <v>5.8545539311328181</v>
      </c>
      <c r="AE39" s="54">
        <f ca="1"/>
        <v>5.8587780927965838</v>
      </c>
      <c r="AF39" s="54">
        <f ca="1"/>
        <v>5.8619978810080378</v>
      </c>
      <c r="AG39" s="54">
        <f ca="1"/>
        <v>5.8644193821415023</v>
      </c>
      <c r="AH39" s="54">
        <f ca="1"/>
        <v>5.866206419661478</v>
      </c>
      <c r="AI39" s="55">
        <f ca="1"/>
        <v>5.8674892211169452</v>
      </c>
      <c r="AJ39" s="56">
        <f ca="1"/>
        <v>5.8683713077665765</v>
      </c>
      <c r="AK39" s="54">
        <f ca="1"/>
        <v>5.8689349713257952</v>
      </c>
      <c r="AL39" s="54">
        <f ca="1"/>
        <v>5.8692456275792697</v>
      </c>
      <c r="AM39" s="54">
        <f ca="1"/>
        <v>5.8693552771837361</v>
      </c>
      <c r="AN39" s="54">
        <f ca="1"/>
        <v>5.8693052567525825</v>
      </c>
      <c r="AO39" s="54">
        <f ca="1"/>
        <v>5.8691284257664522</v>
      </c>
      <c r="AP39" s="54">
        <f ca="1"/>
        <v>5.8688509050068758</v>
      </c>
      <c r="AQ39" s="54">
        <f ca="1"/>
        <v>5.8684934584835924</v>
      </c>
      <c r="AR39" s="54">
        <f ca="1"/>
        <v>5.8680725919654781</v>
      </c>
      <c r="AS39" s="54">
        <f ca="1"/>
        <v>5.8676014262321177</v>
      </c>
    </row>
    <row r="42" spans="3:45" x14ac:dyDescent="0.25">
      <c r="D42" s="25"/>
    </row>
    <row r="47" spans="3:45" x14ac:dyDescent="0.25">
      <c r="D47" s="8"/>
      <c r="E47" s="8"/>
    </row>
    <row r="48" spans="3:45" x14ac:dyDescent="0.25">
      <c r="D48" s="8"/>
      <c r="E48" s="8"/>
    </row>
    <row r="49" spans="4:5" x14ac:dyDescent="0.25">
      <c r="D49" s="8"/>
      <c r="E49" s="8"/>
    </row>
    <row r="50" spans="4:5" x14ac:dyDescent="0.25">
      <c r="D50" s="8"/>
      <c r="E50" s="8"/>
    </row>
    <row r="51" spans="4:5" x14ac:dyDescent="0.25">
      <c r="D51" s="8"/>
      <c r="E51" s="8"/>
    </row>
    <row r="52" spans="4:5" x14ac:dyDescent="0.25">
      <c r="D52" s="8"/>
      <c r="E52" s="8"/>
    </row>
    <row r="53" spans="4:5" x14ac:dyDescent="0.25">
      <c r="D53" s="8"/>
      <c r="E53" s="8"/>
    </row>
    <row r="54" spans="4:5" x14ac:dyDescent="0.25">
      <c r="D54" s="8"/>
      <c r="E54" s="8"/>
    </row>
    <row r="55" spans="4:5" x14ac:dyDescent="0.25">
      <c r="D55" s="8"/>
      <c r="E55" s="8"/>
    </row>
    <row r="56" spans="4:5" x14ac:dyDescent="0.25">
      <c r="D56" s="8"/>
      <c r="E56" s="8"/>
    </row>
    <row r="57" spans="4:5" x14ac:dyDescent="0.25">
      <c r="D57" s="8"/>
      <c r="E57" s="8"/>
    </row>
    <row r="58" spans="4:5" x14ac:dyDescent="0.25">
      <c r="D58" s="8"/>
      <c r="E58" s="8"/>
    </row>
    <row r="59" spans="4:5" x14ac:dyDescent="0.25">
      <c r="D59" s="8"/>
      <c r="E59" s="8"/>
    </row>
    <row r="60" spans="4:5" x14ac:dyDescent="0.25">
      <c r="D60" s="8"/>
      <c r="E60" s="8"/>
    </row>
    <row r="61" spans="4:5" x14ac:dyDescent="0.25">
      <c r="D61" s="8"/>
      <c r="E61" s="8"/>
    </row>
    <row r="62" spans="4:5" x14ac:dyDescent="0.25">
      <c r="D62" s="8"/>
      <c r="E62" s="8"/>
    </row>
    <row r="63" spans="4:5" x14ac:dyDescent="0.25">
      <c r="D63" s="8"/>
      <c r="E63" s="8"/>
    </row>
    <row r="64" spans="4:5" x14ac:dyDescent="0.25">
      <c r="D64" s="8"/>
      <c r="E64" s="8"/>
    </row>
    <row r="65" spans="4:5" x14ac:dyDescent="0.25">
      <c r="D65" s="8"/>
      <c r="E65" s="8"/>
    </row>
    <row r="66" spans="4:5" x14ac:dyDescent="0.25">
      <c r="D66" s="8"/>
      <c r="E66" s="8"/>
    </row>
    <row r="67" spans="4:5" x14ac:dyDescent="0.25">
      <c r="D67" s="8"/>
      <c r="E67" s="8"/>
    </row>
    <row r="68" spans="4:5" x14ac:dyDescent="0.25">
      <c r="D68" s="8"/>
      <c r="E68" s="8"/>
    </row>
    <row r="69" spans="4:5" x14ac:dyDescent="0.25">
      <c r="D69" s="8"/>
      <c r="E69" s="8"/>
    </row>
    <row r="70" spans="4:5" x14ac:dyDescent="0.25">
      <c r="D70" s="8"/>
      <c r="E70" s="8"/>
    </row>
    <row r="71" spans="4:5" x14ac:dyDescent="0.25">
      <c r="D71" s="8"/>
      <c r="E71" s="8"/>
    </row>
    <row r="72" spans="4:5" x14ac:dyDescent="0.25">
      <c r="D72" s="8"/>
      <c r="E72" s="8"/>
    </row>
    <row r="73" spans="4:5" x14ac:dyDescent="0.25">
      <c r="D73" s="8"/>
      <c r="E73" s="8"/>
    </row>
    <row r="74" spans="4:5" x14ac:dyDescent="0.25">
      <c r="D74" s="8"/>
      <c r="E74" s="8"/>
    </row>
    <row r="75" spans="4:5" x14ac:dyDescent="0.25">
      <c r="D75" s="8"/>
      <c r="E75" s="8"/>
    </row>
    <row r="76" spans="4:5" x14ac:dyDescent="0.25">
      <c r="D76" s="8"/>
      <c r="E76" s="8"/>
    </row>
    <row r="77" spans="4:5" x14ac:dyDescent="0.25">
      <c r="D77" s="8"/>
      <c r="E77" s="8"/>
    </row>
    <row r="78" spans="4:5" x14ac:dyDescent="0.25">
      <c r="D78" s="8"/>
      <c r="E78" s="8"/>
    </row>
    <row r="79" spans="4:5" x14ac:dyDescent="0.25">
      <c r="D79" s="8"/>
      <c r="E79" s="8"/>
    </row>
    <row r="80" spans="4:5" x14ac:dyDescent="0.25">
      <c r="D80" s="8"/>
      <c r="E80" s="8"/>
    </row>
    <row r="81" spans="4:5" x14ac:dyDescent="0.25">
      <c r="D81" s="8"/>
      <c r="E81" s="8"/>
    </row>
    <row r="82" spans="4:5" x14ac:dyDescent="0.25">
      <c r="D82" s="8"/>
      <c r="E82" s="8"/>
    </row>
    <row r="83" spans="4:5" x14ac:dyDescent="0.25">
      <c r="D83" s="8"/>
      <c r="E83" s="8"/>
    </row>
    <row r="84" spans="4:5" x14ac:dyDescent="0.25">
      <c r="D84" s="8"/>
      <c r="E84" s="8"/>
    </row>
    <row r="85" spans="4:5" x14ac:dyDescent="0.25">
      <c r="D85" s="8"/>
      <c r="E85" s="8"/>
    </row>
    <row r="86" spans="4:5" x14ac:dyDescent="0.25">
      <c r="D86" s="8"/>
      <c r="E86" s="8"/>
    </row>
    <row r="87" spans="4:5" x14ac:dyDescent="0.25">
      <c r="D87" s="8"/>
      <c r="E87" s="8"/>
    </row>
    <row r="88" spans="4:5" x14ac:dyDescent="0.25">
      <c r="D88" s="8"/>
      <c r="E88" s="8"/>
    </row>
    <row r="89" spans="4:5" x14ac:dyDescent="0.25">
      <c r="D89" s="8"/>
      <c r="E89" s="8"/>
    </row>
    <row r="90" spans="4:5" x14ac:dyDescent="0.25">
      <c r="D90" s="8"/>
      <c r="E90" s="8"/>
    </row>
    <row r="91" spans="4:5" x14ac:dyDescent="0.25">
      <c r="D91" s="8"/>
      <c r="E91" s="8"/>
    </row>
    <row r="92" spans="4:5" x14ac:dyDescent="0.25">
      <c r="D92" s="8"/>
      <c r="E92" s="8"/>
    </row>
    <row r="93" spans="4:5" x14ac:dyDescent="0.25">
      <c r="D93" s="8"/>
      <c r="E93" s="8"/>
    </row>
    <row r="94" spans="4:5" x14ac:dyDescent="0.25">
      <c r="D94" s="8"/>
      <c r="E94" s="8"/>
    </row>
    <row r="95" spans="4:5" x14ac:dyDescent="0.25">
      <c r="D95" s="8"/>
      <c r="E95" s="8"/>
    </row>
    <row r="96" spans="4:5" x14ac:dyDescent="0.25">
      <c r="D96" s="8"/>
      <c r="E96" s="8"/>
    </row>
    <row r="97" spans="4:5" x14ac:dyDescent="0.25">
      <c r="D97" s="8"/>
      <c r="E97" s="8"/>
    </row>
    <row r="98" spans="4:5" x14ac:dyDescent="0.25">
      <c r="D98" s="8"/>
      <c r="E98" s="8"/>
    </row>
    <row r="99" spans="4:5" x14ac:dyDescent="0.25">
      <c r="D99" s="8"/>
      <c r="E99" s="8"/>
    </row>
    <row r="100" spans="4:5" x14ac:dyDescent="0.25">
      <c r="D100" s="8"/>
      <c r="E100" s="8"/>
    </row>
    <row r="101" spans="4:5" x14ac:dyDescent="0.25">
      <c r="D101" s="8"/>
      <c r="E101" s="8"/>
    </row>
    <row r="102" spans="4:5" x14ac:dyDescent="0.25">
      <c r="D102" s="8"/>
      <c r="E102" s="8"/>
    </row>
    <row r="103" spans="4:5" x14ac:dyDescent="0.25">
      <c r="D103" s="8"/>
      <c r="E103" s="8"/>
    </row>
    <row r="104" spans="4:5" x14ac:dyDescent="0.25">
      <c r="D104" s="8"/>
      <c r="E104" s="8"/>
    </row>
    <row r="105" spans="4:5" x14ac:dyDescent="0.25">
      <c r="D105" s="8"/>
      <c r="E105" s="8"/>
    </row>
    <row r="106" spans="4:5" x14ac:dyDescent="0.25">
      <c r="D106" s="8"/>
      <c r="E106" s="8"/>
    </row>
    <row r="107" spans="4:5" x14ac:dyDescent="0.25">
      <c r="D107" s="8"/>
      <c r="E107" s="8"/>
    </row>
    <row r="108" spans="4:5" x14ac:dyDescent="0.25">
      <c r="D108" s="8"/>
      <c r="E108" s="8"/>
    </row>
    <row r="109" spans="4:5" x14ac:dyDescent="0.25">
      <c r="D109" s="8"/>
      <c r="E109" s="8"/>
    </row>
    <row r="110" spans="4:5" x14ac:dyDescent="0.25">
      <c r="D110" s="8"/>
      <c r="E110" s="8"/>
    </row>
    <row r="111" spans="4:5" x14ac:dyDescent="0.25">
      <c r="D111" s="8"/>
      <c r="E111" s="8"/>
    </row>
    <row r="112" spans="4:5" x14ac:dyDescent="0.25">
      <c r="D112" s="8"/>
      <c r="E112" s="8"/>
    </row>
    <row r="113" spans="4:5" x14ac:dyDescent="0.25">
      <c r="D113" s="8"/>
      <c r="E113" s="8"/>
    </row>
    <row r="114" spans="4:5" x14ac:dyDescent="0.25">
      <c r="D114" s="8"/>
      <c r="E114" s="8"/>
    </row>
    <row r="115" spans="4:5" x14ac:dyDescent="0.25">
      <c r="D115" s="8"/>
      <c r="E115" s="8"/>
    </row>
    <row r="116" spans="4:5" x14ac:dyDescent="0.25">
      <c r="D116" s="8"/>
      <c r="E116" s="8"/>
    </row>
    <row r="117" spans="4:5" x14ac:dyDescent="0.25">
      <c r="D117" s="8"/>
      <c r="E117" s="8"/>
    </row>
    <row r="118" spans="4:5" x14ac:dyDescent="0.25">
      <c r="D118" s="8"/>
      <c r="E118" s="8"/>
    </row>
    <row r="119" spans="4:5" x14ac:dyDescent="0.25">
      <c r="D119" s="8"/>
      <c r="E119" s="8"/>
    </row>
    <row r="120" spans="4:5" x14ac:dyDescent="0.25">
      <c r="D120" s="8"/>
      <c r="E120" s="8"/>
    </row>
    <row r="121" spans="4:5" x14ac:dyDescent="0.25">
      <c r="D121" s="8"/>
      <c r="E121" s="8"/>
    </row>
    <row r="122" spans="4:5" x14ac:dyDescent="0.25">
      <c r="D122" s="8"/>
      <c r="E122" s="8"/>
    </row>
    <row r="123" spans="4:5" x14ac:dyDescent="0.25">
      <c r="D123" s="8"/>
      <c r="E123" s="8"/>
    </row>
    <row r="124" spans="4:5" x14ac:dyDescent="0.25">
      <c r="D124" s="8"/>
      <c r="E124" s="8"/>
    </row>
    <row r="125" spans="4:5" x14ac:dyDescent="0.25">
      <c r="D125" s="8"/>
      <c r="E125" s="8"/>
    </row>
    <row r="126" spans="4:5" x14ac:dyDescent="0.25">
      <c r="D126" s="8"/>
      <c r="E126" s="8"/>
    </row>
    <row r="127" spans="4:5" x14ac:dyDescent="0.25">
      <c r="D127" s="8"/>
      <c r="E127" s="8"/>
    </row>
    <row r="128" spans="4:5" x14ac:dyDescent="0.25">
      <c r="D128" s="8"/>
      <c r="E128" s="8"/>
    </row>
    <row r="129" spans="4:5" x14ac:dyDescent="0.25">
      <c r="D129" s="8"/>
      <c r="E129" s="8"/>
    </row>
    <row r="130" spans="4:5" x14ac:dyDescent="0.25">
      <c r="D130" s="8"/>
      <c r="E130" s="8"/>
    </row>
    <row r="131" spans="4:5" x14ac:dyDescent="0.25">
      <c r="D131" s="8"/>
      <c r="E131" s="8"/>
    </row>
    <row r="132" spans="4:5" x14ac:dyDescent="0.25">
      <c r="D132" s="8"/>
      <c r="E132" s="8"/>
    </row>
    <row r="133" spans="4:5" x14ac:dyDescent="0.25">
      <c r="D133" s="8"/>
      <c r="E133" s="8"/>
    </row>
    <row r="134" spans="4:5" x14ac:dyDescent="0.25">
      <c r="D134" s="8"/>
      <c r="E134" s="8"/>
    </row>
    <row r="135" spans="4:5" x14ac:dyDescent="0.25">
      <c r="D135" s="8"/>
      <c r="E135" s="8"/>
    </row>
    <row r="136" spans="4:5" x14ac:dyDescent="0.25">
      <c r="D136" s="8"/>
      <c r="E136" s="8"/>
    </row>
    <row r="137" spans="4:5" x14ac:dyDescent="0.25">
      <c r="D137" s="8"/>
      <c r="E137" s="8"/>
    </row>
    <row r="138" spans="4:5" x14ac:dyDescent="0.25">
      <c r="D138" s="8"/>
      <c r="E138" s="8"/>
    </row>
    <row r="139" spans="4:5" x14ac:dyDescent="0.25">
      <c r="D139" s="8"/>
      <c r="E139" s="8"/>
    </row>
    <row r="140" spans="4:5" x14ac:dyDescent="0.25">
      <c r="D140" s="8"/>
      <c r="E140" s="8"/>
    </row>
    <row r="141" spans="4:5" x14ac:dyDescent="0.25">
      <c r="D141" s="8"/>
      <c r="E141" s="8"/>
    </row>
    <row r="142" spans="4:5" x14ac:dyDescent="0.25">
      <c r="D142" s="8"/>
      <c r="E142" s="8"/>
    </row>
    <row r="143" spans="4:5" x14ac:dyDescent="0.25">
      <c r="D143" s="8"/>
      <c r="E143" s="8"/>
    </row>
    <row r="144" spans="4:5" x14ac:dyDescent="0.25">
      <c r="D144" s="8"/>
      <c r="E144" s="8"/>
    </row>
    <row r="145" spans="4:5" x14ac:dyDescent="0.25">
      <c r="D145" s="8"/>
      <c r="E145" s="8"/>
    </row>
    <row r="146" spans="4:5" x14ac:dyDescent="0.25">
      <c r="D146" s="8"/>
      <c r="E146" s="8"/>
    </row>
    <row r="147" spans="4:5" x14ac:dyDescent="0.25">
      <c r="D147" s="8"/>
      <c r="E147" s="8"/>
    </row>
    <row r="148" spans="4:5" x14ac:dyDescent="0.25">
      <c r="D148" s="8"/>
      <c r="E148" s="8"/>
    </row>
    <row r="149" spans="4:5" x14ac:dyDescent="0.25">
      <c r="D149" s="8"/>
      <c r="E149" s="8"/>
    </row>
    <row r="150" spans="4:5" x14ac:dyDescent="0.25">
      <c r="D150" s="8"/>
      <c r="E150" s="8"/>
    </row>
    <row r="151" spans="4:5" x14ac:dyDescent="0.25">
      <c r="D151" s="8"/>
      <c r="E151" s="8"/>
    </row>
    <row r="152" spans="4:5" x14ac:dyDescent="0.25">
      <c r="D152" s="8"/>
      <c r="E152" s="8"/>
    </row>
    <row r="153" spans="4:5" x14ac:dyDescent="0.25">
      <c r="D153" s="8"/>
      <c r="E153" s="8"/>
    </row>
    <row r="154" spans="4:5" x14ac:dyDescent="0.25">
      <c r="D154" s="8"/>
      <c r="E154" s="8"/>
    </row>
    <row r="155" spans="4:5" x14ac:dyDescent="0.25">
      <c r="D155" s="8"/>
      <c r="E155" s="8"/>
    </row>
    <row r="156" spans="4:5" x14ac:dyDescent="0.25">
      <c r="D156" s="8"/>
      <c r="E156" s="8"/>
    </row>
    <row r="157" spans="4:5" x14ac:dyDescent="0.25">
      <c r="D157" s="8"/>
      <c r="E157" s="8"/>
    </row>
    <row r="158" spans="4:5" x14ac:dyDescent="0.25">
      <c r="D158" s="8"/>
      <c r="E158" s="8"/>
    </row>
    <row r="159" spans="4:5" x14ac:dyDescent="0.25">
      <c r="D159" s="8"/>
      <c r="E159" s="8"/>
    </row>
    <row r="160" spans="4:5" x14ac:dyDescent="0.25">
      <c r="D160" s="8"/>
      <c r="E160" s="8"/>
    </row>
    <row r="161" spans="4:5" x14ac:dyDescent="0.25">
      <c r="D161" s="8"/>
      <c r="E161" s="8"/>
    </row>
    <row r="162" spans="4:5" x14ac:dyDescent="0.25">
      <c r="D162" s="8"/>
      <c r="E162" s="8"/>
    </row>
    <row r="163" spans="4:5" x14ac:dyDescent="0.25">
      <c r="D163" s="8"/>
      <c r="E163" s="8"/>
    </row>
    <row r="164" spans="4:5" x14ac:dyDescent="0.25">
      <c r="D164" s="8"/>
      <c r="E164" s="8"/>
    </row>
    <row r="165" spans="4:5" x14ac:dyDescent="0.25">
      <c r="D165" s="8"/>
      <c r="E165" s="8"/>
    </row>
    <row r="166" spans="4:5" x14ac:dyDescent="0.25">
      <c r="D166" s="8"/>
      <c r="E166" s="8"/>
    </row>
    <row r="167" spans="4:5" x14ac:dyDescent="0.25">
      <c r="D167" s="8"/>
      <c r="E167" s="8"/>
    </row>
    <row r="168" spans="4:5" x14ac:dyDescent="0.25">
      <c r="D168" s="8"/>
      <c r="E168" s="8"/>
    </row>
    <row r="169" spans="4:5" x14ac:dyDescent="0.25">
      <c r="D169" s="8"/>
      <c r="E169" s="8"/>
    </row>
    <row r="170" spans="4:5" x14ac:dyDescent="0.25">
      <c r="D170" s="8"/>
      <c r="E170" s="8"/>
    </row>
    <row r="171" spans="4:5" x14ac:dyDescent="0.25">
      <c r="D171" s="8"/>
      <c r="E171" s="8"/>
    </row>
    <row r="172" spans="4:5" x14ac:dyDescent="0.25">
      <c r="D172" s="8"/>
      <c r="E172" s="8"/>
    </row>
    <row r="173" spans="4:5" x14ac:dyDescent="0.25">
      <c r="D173" s="8"/>
      <c r="E173" s="8"/>
    </row>
    <row r="174" spans="4:5" x14ac:dyDescent="0.25">
      <c r="D174" s="8"/>
      <c r="E174" s="8"/>
    </row>
    <row r="175" spans="4:5" x14ac:dyDescent="0.25">
      <c r="D175" s="8"/>
      <c r="E175" s="8"/>
    </row>
    <row r="176" spans="4:5" x14ac:dyDescent="0.25">
      <c r="D176" s="8"/>
      <c r="E176" s="8"/>
    </row>
    <row r="177" spans="4:5" x14ac:dyDescent="0.25">
      <c r="D177" s="8"/>
      <c r="E177" s="8"/>
    </row>
    <row r="178" spans="4:5" x14ac:dyDescent="0.25">
      <c r="D178" s="8"/>
      <c r="E178" s="8"/>
    </row>
    <row r="179" spans="4:5" x14ac:dyDescent="0.25">
      <c r="D179" s="8"/>
      <c r="E179" s="8"/>
    </row>
    <row r="180" spans="4:5" x14ac:dyDescent="0.25">
      <c r="D180" s="8"/>
      <c r="E180" s="8"/>
    </row>
    <row r="181" spans="4:5" x14ac:dyDescent="0.25">
      <c r="D181" s="8"/>
      <c r="E181" s="8"/>
    </row>
    <row r="182" spans="4:5" x14ac:dyDescent="0.25">
      <c r="D182" s="8"/>
      <c r="E182" s="8"/>
    </row>
    <row r="183" spans="4:5" x14ac:dyDescent="0.25">
      <c r="D183" s="8"/>
      <c r="E183" s="8"/>
    </row>
    <row r="184" spans="4:5" x14ac:dyDescent="0.25">
      <c r="D184" s="8"/>
      <c r="E184" s="8"/>
    </row>
    <row r="185" spans="4:5" x14ac:dyDescent="0.25">
      <c r="D185" s="8"/>
      <c r="E185" s="8"/>
    </row>
    <row r="186" spans="4:5" x14ac:dyDescent="0.25">
      <c r="D186" s="8"/>
      <c r="E186" s="8"/>
    </row>
    <row r="187" spans="4:5" x14ac:dyDescent="0.25">
      <c r="D187" s="8"/>
      <c r="E187" s="8"/>
    </row>
    <row r="188" spans="4:5" x14ac:dyDescent="0.25">
      <c r="D188" s="8"/>
      <c r="E188" s="8"/>
    </row>
    <row r="189" spans="4:5" x14ac:dyDescent="0.25">
      <c r="D189" s="8"/>
      <c r="E189" s="8"/>
    </row>
    <row r="190" spans="4:5" x14ac:dyDescent="0.25">
      <c r="D190" s="8"/>
      <c r="E190" s="8"/>
    </row>
    <row r="191" spans="4:5" x14ac:dyDescent="0.25">
      <c r="D191" s="8"/>
      <c r="E191" s="8"/>
    </row>
    <row r="192" spans="4:5" x14ac:dyDescent="0.25">
      <c r="D192" s="8"/>
      <c r="E192" s="8"/>
    </row>
    <row r="193" spans="4:5" x14ac:dyDescent="0.25">
      <c r="D193" s="8"/>
      <c r="E193" s="8"/>
    </row>
    <row r="194" spans="4:5" x14ac:dyDescent="0.25">
      <c r="D194" s="8"/>
      <c r="E194" s="8"/>
    </row>
    <row r="195" spans="4:5" x14ac:dyDescent="0.25">
      <c r="D195" s="8"/>
      <c r="E195" s="8"/>
    </row>
    <row r="196" spans="4:5" x14ac:dyDescent="0.25">
      <c r="D196" s="8"/>
      <c r="E196" s="8"/>
    </row>
    <row r="197" spans="4:5" x14ac:dyDescent="0.25">
      <c r="D197" s="8"/>
      <c r="E197" s="8"/>
    </row>
    <row r="198" spans="4:5" x14ac:dyDescent="0.25">
      <c r="D198" s="8"/>
      <c r="E198" s="8"/>
    </row>
    <row r="199" spans="4:5" x14ac:dyDescent="0.25">
      <c r="D199" s="8"/>
      <c r="E199" s="8"/>
    </row>
  </sheetData>
  <mergeCells count="17">
    <mergeCell ref="A7:A8"/>
    <mergeCell ref="A10:A11"/>
    <mergeCell ref="B10:B11"/>
    <mergeCell ref="D38:D39"/>
    <mergeCell ref="E6:F6"/>
    <mergeCell ref="E21:R22"/>
    <mergeCell ref="D24:D25"/>
    <mergeCell ref="C27:D28"/>
    <mergeCell ref="B30:D31"/>
    <mergeCell ref="I30:I31"/>
    <mergeCell ref="E18:G18"/>
    <mergeCell ref="B12:B13"/>
    <mergeCell ref="L30:N31"/>
    <mergeCell ref="D32:D33"/>
    <mergeCell ref="E35:R36"/>
    <mergeCell ref="C35:C36"/>
    <mergeCell ref="D35:D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DF82-C21C-444A-A5B0-0C75A1B82934}">
  <dimension ref="B3:AB85"/>
  <sheetViews>
    <sheetView showGridLines="0" tabSelected="1" workbookViewId="0">
      <selection activeCell="T25" sqref="T25"/>
    </sheetView>
  </sheetViews>
  <sheetFormatPr defaultRowHeight="12.5" x14ac:dyDescent="0.25"/>
  <sheetData>
    <row r="3" spans="2:16" ht="32" thickBot="1" x14ac:dyDescent="0.3">
      <c r="I3" s="124" t="s">
        <v>1</v>
      </c>
      <c r="J3" s="124"/>
      <c r="K3" s="2" t="s">
        <v>2</v>
      </c>
    </row>
    <row r="4" spans="2:16" ht="30.5" x14ac:dyDescent="0.25">
      <c r="B4" s="93" t="s">
        <v>51</v>
      </c>
      <c r="F4" s="93" t="s">
        <v>36</v>
      </c>
      <c r="H4" s="95" t="s">
        <v>28</v>
      </c>
      <c r="I4" s="96" t="s">
        <v>3</v>
      </c>
      <c r="J4" s="96" t="s">
        <v>4</v>
      </c>
      <c r="K4" s="97" t="s">
        <v>2</v>
      </c>
      <c r="L4" s="131" t="s">
        <v>20</v>
      </c>
      <c r="M4" s="132" t="s">
        <v>42</v>
      </c>
      <c r="N4" s="132" t="s">
        <v>45</v>
      </c>
      <c r="O4" s="97" t="s">
        <v>46</v>
      </c>
      <c r="P4" s="97" t="s">
        <v>49</v>
      </c>
    </row>
    <row r="5" spans="2:16" ht="14.5" x14ac:dyDescent="0.25">
      <c r="B5" s="125">
        <v>50</v>
      </c>
      <c r="F5" s="8">
        <f>COUNT($J$5:$J$14)</f>
        <v>10</v>
      </c>
      <c r="H5" s="98">
        <v>1</v>
      </c>
      <c r="I5" s="85">
        <v>1</v>
      </c>
      <c r="J5" s="94">
        <v>2</v>
      </c>
      <c r="K5" s="99">
        <f ca="1">$K$19+$K$20*J5+$B$5*RAND()</f>
        <v>61.239834893557301</v>
      </c>
      <c r="L5" s="133" cm="1">
        <f t="array" aca="1" ref="L5:L14" ca="1">MMULT(my_X, my_LS)</f>
        <v>42.007234215679247</v>
      </c>
      <c r="M5" s="129" cm="1">
        <f t="array" aca="1" ref="M5:M14" ca="1">MMULT(my_X,_xlfn.ANCHORARRAY( M19))</f>
        <v>20.755734686107029</v>
      </c>
      <c r="N5" s="129" cm="1">
        <f t="array" aca="1" ref="N5:N14" ca="1">(my_t-_xlfn.ANCHORARRAY(L5))^2</f>
        <v>369.89292883471535</v>
      </c>
      <c r="O5" s="134" cm="1">
        <f t="array" aca="1" ref="O5:O14" ca="1">(my_t-_xlfn.ANCHORARRAY(M5))^2</f>
        <v>1638.9623696068747</v>
      </c>
      <c r="P5" s="130">
        <v>15.09</v>
      </c>
    </row>
    <row r="6" spans="2:16" ht="14.5" x14ac:dyDescent="0.25">
      <c r="H6" s="98">
        <v>2</v>
      </c>
      <c r="I6" s="85">
        <v>1</v>
      </c>
      <c r="J6" s="94">
        <v>2.4</v>
      </c>
      <c r="K6" s="99">
        <f ca="1">$K$19+$K$20*J6+$B$5*RAND()</f>
        <v>22.281026997148853</v>
      </c>
      <c r="L6" s="133">
        <f ca="1"/>
        <v>43.213449680895209</v>
      </c>
      <c r="M6" s="129">
        <f ca="1"/>
        <v>23.65278378961359</v>
      </c>
      <c r="N6" s="129">
        <f ca="1"/>
        <v>438.166319411019</v>
      </c>
      <c r="O6" s="134">
        <f ca="1"/>
        <v>1.8817166976731432</v>
      </c>
      <c r="P6" s="130">
        <v>19.57</v>
      </c>
    </row>
    <row r="7" spans="2:16" ht="14.5" x14ac:dyDescent="0.25">
      <c r="H7" s="98">
        <v>3</v>
      </c>
      <c r="I7" s="85">
        <v>1</v>
      </c>
      <c r="J7" s="94">
        <v>5.3</v>
      </c>
      <c r="K7" s="99">
        <f ca="1">$K$19+$K$20*J7+$B$5*RAND()</f>
        <v>68.817396632899857</v>
      </c>
      <c r="L7" s="133">
        <f ca="1"/>
        <v>51.958511803710905</v>
      </c>
      <c r="M7" s="129">
        <f ca="1"/>
        <v>44.656389790036151</v>
      </c>
      <c r="N7" s="129">
        <f ca="1"/>
        <v>284.22199768385741</v>
      </c>
      <c r="O7" s="134">
        <f ca="1"/>
        <v>583.75425166090679</v>
      </c>
      <c r="P7" s="130">
        <v>24.81</v>
      </c>
    </row>
    <row r="8" spans="2:16" ht="14.5" x14ac:dyDescent="0.25">
      <c r="H8" s="98">
        <v>4</v>
      </c>
      <c r="I8" s="85">
        <v>1</v>
      </c>
      <c r="J8" s="94">
        <v>6.1</v>
      </c>
      <c r="K8" s="99">
        <f ca="1">$K$19+$K$20*J8+$B$5*RAND()</f>
        <v>57.29288714063604</v>
      </c>
      <c r="L8" s="133">
        <f ca="1"/>
        <v>54.37094273414283</v>
      </c>
      <c r="M8" s="129">
        <f ca="1"/>
        <v>50.450487997049272</v>
      </c>
      <c r="N8" s="129">
        <f ca="1"/>
        <v>8.5377591146369607</v>
      </c>
      <c r="O8" s="134">
        <f ca="1"/>
        <v>46.818426040156929</v>
      </c>
      <c r="P8" s="130">
        <v>23.23</v>
      </c>
    </row>
    <row r="9" spans="2:16" ht="14.5" x14ac:dyDescent="0.25">
      <c r="H9" s="98">
        <v>5</v>
      </c>
      <c r="I9" s="85">
        <v>1</v>
      </c>
      <c r="J9" s="94">
        <v>3.2</v>
      </c>
      <c r="K9" s="99">
        <f ca="1">$K$19+$K$20*J9+$B$5*RAND()</f>
        <v>46.314382472575055</v>
      </c>
      <c r="L9" s="133">
        <f ca="1"/>
        <v>45.625880611327126</v>
      </c>
      <c r="M9" s="129">
        <f ca="1"/>
        <v>29.446881996626715</v>
      </c>
      <c r="N9" s="129">
        <f ca="1"/>
        <v>0.47403481294186189</v>
      </c>
      <c r="O9" s="134">
        <f ca="1"/>
        <v>284.51257230611748</v>
      </c>
      <c r="P9" s="130">
        <v>15.55</v>
      </c>
    </row>
    <row r="10" spans="2:16" ht="14.5" x14ac:dyDescent="0.25">
      <c r="H10" s="98">
        <v>6</v>
      </c>
      <c r="I10" s="85">
        <v>1</v>
      </c>
      <c r="J10" s="94">
        <v>4.2</v>
      </c>
      <c r="K10" s="99">
        <f ca="1">$K$19+$K$20*J10+$B$5*RAND()</f>
        <v>33.644501292047991</v>
      </c>
      <c r="L10" s="133">
        <f ca="1"/>
        <v>48.641419274367024</v>
      </c>
      <c r="M10" s="129">
        <f ca="1"/>
        <v>36.689504755393109</v>
      </c>
      <c r="N10" s="129">
        <f ca="1"/>
        <v>224.90754896840397</v>
      </c>
      <c r="O10" s="134">
        <f ca="1"/>
        <v>9.2720460917837642</v>
      </c>
      <c r="P10" s="130">
        <v>20.93</v>
      </c>
    </row>
    <row r="11" spans="2:16" ht="14.5" x14ac:dyDescent="0.25">
      <c r="H11" s="98">
        <v>7</v>
      </c>
      <c r="I11" s="85">
        <v>1</v>
      </c>
      <c r="J11" s="94">
        <v>8.5</v>
      </c>
      <c r="K11" s="99">
        <f ca="1">$K$19+$K$20*J11+$B$5*RAND()</f>
        <v>57.364228810758391</v>
      </c>
      <c r="L11" s="133">
        <f ca="1"/>
        <v>61.608235525438587</v>
      </c>
      <c r="M11" s="129">
        <f ca="1"/>
        <v>67.832782618088629</v>
      </c>
      <c r="N11" s="129">
        <f ca="1"/>
        <v>18.011592994250595</v>
      </c>
      <c r="O11" s="134">
        <f ca="1"/>
        <v>109.59061881696843</v>
      </c>
      <c r="P11" s="130">
        <v>35.020000000000003</v>
      </c>
    </row>
    <row r="12" spans="2:16" ht="14.5" x14ac:dyDescent="0.25">
      <c r="H12" s="98">
        <v>8</v>
      </c>
      <c r="I12" s="85">
        <v>1</v>
      </c>
      <c r="J12" s="94">
        <v>7.8</v>
      </c>
      <c r="K12" s="99">
        <f ca="1">$K$19+$K$20*J12+$B$5*RAND()</f>
        <v>57.852756295279768</v>
      </c>
      <c r="L12" s="133">
        <f ca="1"/>
        <v>59.497358461310654</v>
      </c>
      <c r="M12" s="129">
        <f ca="1"/>
        <v>62.762946686952155</v>
      </c>
      <c r="N12" s="129">
        <f ca="1"/>
        <v>2.7047162845134816</v>
      </c>
      <c r="O12" s="134">
        <f ca="1"/>
        <v>24.109969682471828</v>
      </c>
      <c r="P12" s="130">
        <v>29.2</v>
      </c>
    </row>
    <row r="13" spans="2:16" ht="14.5" x14ac:dyDescent="0.25">
      <c r="H13" s="98">
        <v>9</v>
      </c>
      <c r="I13" s="85">
        <v>1</v>
      </c>
      <c r="J13" s="94">
        <v>8.67</v>
      </c>
      <c r="K13" s="99">
        <f ca="1">$K$19+$K$20*J13+$B$5*RAND()</f>
        <v>69.017374790675248</v>
      </c>
      <c r="L13" s="133">
        <f ca="1"/>
        <v>62.120877098155361</v>
      </c>
      <c r="M13" s="129">
        <f ca="1"/>
        <v>69.064028487078915</v>
      </c>
      <c r="N13" s="129">
        <f ca="1"/>
        <v>47.561680422932127</v>
      </c>
      <c r="O13" s="134">
        <f ca="1"/>
        <v>2.17656738812547E-3</v>
      </c>
      <c r="P13" s="130">
        <v>36.22</v>
      </c>
    </row>
    <row r="14" spans="2:16" ht="15" thickBot="1" x14ac:dyDescent="0.3">
      <c r="H14" s="100">
        <v>10</v>
      </c>
      <c r="I14" s="101">
        <v>1</v>
      </c>
      <c r="J14" s="102">
        <v>9.52</v>
      </c>
      <c r="K14" s="103">
        <f ca="1">$K$19+$K$20*J14+$B$5*RAND()</f>
        <v>59.903605041187127</v>
      </c>
      <c r="L14" s="135">
        <f ca="1"/>
        <v>64.684084961739273</v>
      </c>
      <c r="M14" s="136">
        <f ca="1"/>
        <v>75.220257832030356</v>
      </c>
      <c r="N14" s="136">
        <f ca="1"/>
        <v>22.852988270802253</v>
      </c>
      <c r="O14" s="137">
        <f ca="1"/>
        <v>234.59985271524567</v>
      </c>
      <c r="P14" s="91">
        <v>37.159999999999997</v>
      </c>
    </row>
    <row r="16" spans="2:16" ht="32.5" x14ac:dyDescent="0.25">
      <c r="F16" s="138" t="s">
        <v>52</v>
      </c>
      <c r="G16" s="139"/>
      <c r="H16" s="139"/>
      <c r="I16" s="139"/>
      <c r="J16" s="139"/>
      <c r="K16" s="139"/>
      <c r="L16" s="139"/>
      <c r="M16" s="139"/>
      <c r="N16" s="140">
        <f ca="1">SUM(_xlfn.ANCHORARRAY(N5))/(2*$F$5)</f>
        <v>70.86657833990364</v>
      </c>
      <c r="O16" s="140">
        <f ca="1">SUM(_xlfn.ANCHORARRAY(O5))/(2*$F$5)</f>
        <v>146.67520000927934</v>
      </c>
      <c r="P16" s="139"/>
    </row>
    <row r="17" spans="5:18" ht="29.5" x14ac:dyDescent="0.25">
      <c r="F17" s="148" t="s">
        <v>44</v>
      </c>
      <c r="G17" s="142"/>
      <c r="H17" s="149" t="s">
        <v>53</v>
      </c>
      <c r="I17" s="142"/>
      <c r="J17" s="142"/>
      <c r="K17" s="142"/>
      <c r="L17" s="142"/>
      <c r="M17" s="142"/>
      <c r="N17" s="150">
        <f ca="1">SQRT(N16*2*$F$5)</f>
        <v>37.647464281118225</v>
      </c>
      <c r="O17" s="150">
        <f ca="1">SQRT(O16*2*$F$5)</f>
        <v>54.161831580787471</v>
      </c>
      <c r="P17" s="142"/>
    </row>
    <row r="18" spans="5:18" x14ac:dyDescent="0.25"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</row>
    <row r="19" spans="5:18" ht="30.5" x14ac:dyDescent="0.25">
      <c r="E19" s="93" t="s">
        <v>50</v>
      </c>
      <c r="F19" s="92" t="s">
        <v>37</v>
      </c>
      <c r="G19" s="145"/>
      <c r="H19" s="145"/>
      <c r="I19" s="145"/>
      <c r="J19" s="145"/>
      <c r="K19" s="146">
        <v>3</v>
      </c>
      <c r="L19" s="147" cm="1">
        <f t="array" aca="1" ref="L19:L20" ca="1">my_LS</f>
        <v>35.976156889599451</v>
      </c>
      <c r="M19" s="147" cm="1">
        <f t="array" aca="1" ref="M19:M20" ca="1">TRANSPOSE(O44:P44)</f>
        <v>6.2704891685742288</v>
      </c>
      <c r="N19" s="145"/>
      <c r="O19" s="145"/>
      <c r="P19" s="145"/>
    </row>
    <row r="20" spans="5:18" ht="30.5" x14ac:dyDescent="0.25">
      <c r="F20" s="141" t="s">
        <v>38</v>
      </c>
      <c r="G20" s="142"/>
      <c r="H20" s="142"/>
      <c r="I20" s="142"/>
      <c r="J20" s="142"/>
      <c r="K20" s="143">
        <v>5</v>
      </c>
      <c r="L20" s="144">
        <f ca="1"/>
        <v>3.0155386630398979</v>
      </c>
      <c r="M20" s="144">
        <f ca="1"/>
        <v>7.2426227587664007</v>
      </c>
      <c r="N20" s="142"/>
      <c r="O20" s="142"/>
      <c r="P20" s="142"/>
    </row>
    <row r="24" spans="5:18" ht="13" thickBot="1" x14ac:dyDescent="0.3"/>
    <row r="25" spans="5:18" ht="13.5" thickBot="1" x14ac:dyDescent="0.35">
      <c r="H25" s="86" t="s">
        <v>29</v>
      </c>
      <c r="I25" s="87"/>
      <c r="J25" s="87"/>
      <c r="K25" s="87"/>
      <c r="L25" s="87"/>
      <c r="M25" s="87"/>
      <c r="N25" s="87"/>
      <c r="O25" s="87"/>
      <c r="P25" s="87"/>
      <c r="Q25" s="87"/>
      <c r="R25" s="88"/>
    </row>
    <row r="27" spans="5:18" x14ac:dyDescent="0.25">
      <c r="H27" t="s">
        <v>32</v>
      </c>
      <c r="I27" s="8" cm="1">
        <f t="array" ref="I27:R28">TRANSPOSE(my_X)</f>
        <v>1</v>
      </c>
      <c r="J27" s="8">
        <v>1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</row>
    <row r="28" spans="5:18" x14ac:dyDescent="0.25">
      <c r="I28" s="8">
        <v>2</v>
      </c>
      <c r="J28" s="8">
        <v>2.4</v>
      </c>
      <c r="K28" s="8">
        <v>5.3</v>
      </c>
      <c r="L28" s="8">
        <v>6.1</v>
      </c>
      <c r="M28" s="8">
        <v>3.2</v>
      </c>
      <c r="N28" s="8">
        <v>4.2</v>
      </c>
      <c r="O28" s="8">
        <v>8.5</v>
      </c>
      <c r="P28" s="8">
        <v>7.8</v>
      </c>
      <c r="Q28" s="8">
        <v>8.67</v>
      </c>
      <c r="R28" s="8">
        <v>9.52</v>
      </c>
    </row>
    <row r="30" spans="5:18" x14ac:dyDescent="0.25">
      <c r="H30" t="s">
        <v>30</v>
      </c>
      <c r="I30" cm="1">
        <f t="array" ref="I30:J31">MMULT(my_XT, my_X)</f>
        <v>10</v>
      </c>
      <c r="J30">
        <v>57.69</v>
      </c>
    </row>
    <row r="31" spans="5:18" x14ac:dyDescent="0.25">
      <c r="I31">
        <v>57.69</v>
      </c>
      <c r="J31">
        <v>401.82929999999999</v>
      </c>
    </row>
    <row r="34" spans="5:28" x14ac:dyDescent="0.25">
      <c r="H34" t="s">
        <v>31</v>
      </c>
      <c r="I34" cm="1">
        <f t="array" aca="1" ref="I34:I35" ca="1">MMULT(my_XT, my_t)</f>
        <v>533.72799436676576</v>
      </c>
    </row>
    <row r="35" spans="5:28" x14ac:dyDescent="0.25">
      <c r="I35">
        <f ca="1"/>
        <v>3287.1962810532473</v>
      </c>
    </row>
    <row r="37" spans="5:28" x14ac:dyDescent="0.25">
      <c r="H37" t="s">
        <v>33</v>
      </c>
      <c r="I37" cm="1">
        <f t="array" aca="1" ref="I37:I38" ca="1">MMULT(MINVERSE(my_XTX), my_XTt)</f>
        <v>35.976156889599451</v>
      </c>
      <c r="J37" t="s">
        <v>34</v>
      </c>
    </row>
    <row r="38" spans="5:28" x14ac:dyDescent="0.25">
      <c r="I38">
        <f ca="1"/>
        <v>3.0155386630398979</v>
      </c>
      <c r="J38" t="s">
        <v>35</v>
      </c>
    </row>
    <row r="39" spans="5:28" ht="13" thickBot="1" x14ac:dyDescent="0.3"/>
    <row r="40" spans="5:28" ht="32.5" customHeight="1" thickBot="1" x14ac:dyDescent="0.9">
      <c r="H40" s="89" t="s">
        <v>19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87"/>
      <c r="W40" s="87"/>
      <c r="X40" s="87"/>
      <c r="Y40" s="87"/>
      <c r="Z40" s="87"/>
      <c r="AA40" s="87"/>
      <c r="AB40" s="88"/>
    </row>
    <row r="42" spans="5:28" ht="13" x14ac:dyDescent="0.3">
      <c r="F42" s="108" t="s">
        <v>47</v>
      </c>
      <c r="G42" s="109"/>
      <c r="H42" s="108" t="s">
        <v>40</v>
      </c>
      <c r="I42" s="109"/>
      <c r="J42" s="108" t="s">
        <v>41</v>
      </c>
      <c r="K42" s="116"/>
      <c r="L42" s="109"/>
      <c r="O42" s="108" t="s">
        <v>48</v>
      </c>
      <c r="P42" s="109"/>
    </row>
    <row r="43" spans="5:28" ht="32" x14ac:dyDescent="0.55000000000000004">
      <c r="E43" s="106" t="s">
        <v>39</v>
      </c>
      <c r="F43" s="121" t="s">
        <v>12</v>
      </c>
      <c r="G43" s="122" t="s">
        <v>18</v>
      </c>
      <c r="H43" s="110" t="s">
        <v>37</v>
      </c>
      <c r="I43" s="111" t="s">
        <v>38</v>
      </c>
      <c r="J43" s="110" t="s">
        <v>37</v>
      </c>
      <c r="K43" s="92" t="s">
        <v>38</v>
      </c>
      <c r="L43" s="117" t="s">
        <v>43</v>
      </c>
      <c r="O43" s="92" t="s">
        <v>37</v>
      </c>
      <c r="P43" s="92" t="s">
        <v>38</v>
      </c>
    </row>
    <row r="44" spans="5:28" x14ac:dyDescent="0.25">
      <c r="E44" s="8">
        <v>0</v>
      </c>
      <c r="F44" s="128">
        <v>5.0000000000000001E-3</v>
      </c>
      <c r="G44" s="119">
        <f>F44/COUNT($J$5:$J$14)</f>
        <v>5.0000000000000001E-4</v>
      </c>
      <c r="H44" s="126">
        <v>5</v>
      </c>
      <c r="I44" s="127">
        <v>2</v>
      </c>
      <c r="J44" s="112" cm="1">
        <f t="array" aca="1" ref="J44:K44" ca="1">TRANSPOSE((TRANSPOSE(H44:I44)+G44*MMULT(my_XT, my_t-MMULT(my_X, TRANSPOSE(H44:I44)))))</f>
        <v>5.1841739971833825</v>
      </c>
      <c r="K44" s="118">
        <f ca="1"/>
        <v>3.0975438405266233</v>
      </c>
      <c r="L44" s="119" cm="1">
        <f t="array" aca="1" ref="L44" ca="1">SUM((my_t-MMULT(my_X, TRANSPOSE(_xlfn.ANCHORARRAY(J44))))^2)*(1/(2*COUNT($J$5:$J$14)))</f>
        <v>530.50748206792002</v>
      </c>
      <c r="N44" s="125">
        <v>19</v>
      </c>
      <c r="O44" s="107">
        <f ca="1">INDEX($J:$J, MATCH($N$44, $E:$E, 0))</f>
        <v>6.2704891685742288</v>
      </c>
      <c r="P44" s="107">
        <f ca="1">INDEX($K:$K, MATCH($N$44, $E:$E, 0))</f>
        <v>7.2426227587664007</v>
      </c>
    </row>
    <row r="45" spans="5:28" x14ac:dyDescent="0.25">
      <c r="E45" s="8">
        <f>E44+1</f>
        <v>1</v>
      </c>
      <c r="F45" s="123">
        <f>F44</f>
        <v>5.0000000000000001E-3</v>
      </c>
      <c r="G45" s="119">
        <f>F45/COUNT($J$5:$J$14)</f>
        <v>5.0000000000000001E-4</v>
      </c>
      <c r="H45" s="112">
        <f ca="1">J44</f>
        <v>5.1841739971833825</v>
      </c>
      <c r="I45" s="113">
        <f ca="1">K44</f>
        <v>3.0975438405266233</v>
      </c>
      <c r="J45" s="112" cm="1">
        <f t="array" aca="1" ref="J45:K45" ca="1">TRANSPOSE((TRANSPOSE(H45:I45)+G45*MMULT(my_XT, my_t-MMULT(my_X, TRANSPOSE(H45:I45)))))</f>
        <v>5.3357684723008578</v>
      </c>
      <c r="K45" s="118">
        <f ca="1"/>
        <v>3.9692625455254298</v>
      </c>
      <c r="L45" s="119" cm="1">
        <f t="array" aca="1" ref="L45" ca="1">SUM((my_t-MMULT(my_X, TRANSPOSE(_xlfn.ANCHORARRAY(J45))))^2)*(1/(2*COUNT($J$5:$J$14)))</f>
        <v>389.97382938548151</v>
      </c>
    </row>
    <row r="46" spans="5:28" x14ac:dyDescent="0.25">
      <c r="E46" s="8">
        <f t="shared" ref="E46:E85" si="0">E45+1</f>
        <v>2</v>
      </c>
      <c r="F46" s="123">
        <f t="shared" ref="F46:F85" si="1">F45</f>
        <v>5.0000000000000001E-3</v>
      </c>
      <c r="G46" s="119">
        <f>F46/COUNT($J$5:$J$14)</f>
        <v>5.0000000000000001E-4</v>
      </c>
      <c r="H46" s="112">
        <f t="shared" ref="H46:H63" ca="1" si="2">J45</f>
        <v>5.3357684723008578</v>
      </c>
      <c r="I46" s="113">
        <f t="shared" ref="I46:I63" ca="1" si="3">K45</f>
        <v>3.9692625455254298</v>
      </c>
      <c r="J46" s="112" cm="1">
        <f t="array" aca="1" ref="J46:K46" ca="1">TRANSPOSE((TRANSPOSE(H46:I46)+G46*MMULT(my_XT, my_t-MMULT(my_X, TRANSPOSE(H46:I46)))))</f>
        <v>5.4614602489970556</v>
      </c>
      <c r="K46" s="118">
        <f ca="1"/>
        <v>4.6614674493761843</v>
      </c>
      <c r="L46" s="119" cm="1">
        <f t="array" aca="1" ref="L46" ca="1">SUM((my_t-MMULT(my_X, TRANSPOSE(_xlfn.ANCHORARRAY(J46))))^2)*(1/(2*COUNT($J$5:$J$14)))</f>
        <v>301.1212248381957</v>
      </c>
    </row>
    <row r="47" spans="5:28" x14ac:dyDescent="0.25">
      <c r="E47" s="8">
        <f t="shared" si="0"/>
        <v>3</v>
      </c>
      <c r="F47" s="123">
        <f t="shared" si="1"/>
        <v>5.0000000000000001E-3</v>
      </c>
      <c r="G47" s="119">
        <f>F47/COUNT($J$5:$J$14)</f>
        <v>5.0000000000000001E-4</v>
      </c>
      <c r="H47" s="112">
        <f t="shared" ca="1" si="2"/>
        <v>5.4614602489970556</v>
      </c>
      <c r="I47" s="113">
        <f t="shared" ca="1" si="3"/>
        <v>4.6614674493761843</v>
      </c>
      <c r="J47" s="112" cm="1">
        <f t="array" aca="1" ref="J47:K47" ca="1">TRANSPOSE((TRANSPOSE(H47:I47)+G47*MMULT(my_XT, my_t-MMULT(my_X, TRANSPOSE(H47:I47)))))</f>
        <v>5.5665569163581967</v>
      </c>
      <c r="K47" s="118">
        <f ca="1"/>
        <v>5.2109726679426789</v>
      </c>
      <c r="L47" s="119" cm="1">
        <f t="array" aca="1" ref="L47" ca="1">SUM((my_t-MMULT(my_X, TRANSPOSE(_xlfn.ANCHORARRAY(J47))))^2)*(1/(2*COUNT($J$5:$J$14)))</f>
        <v>244.92639314071772</v>
      </c>
    </row>
    <row r="48" spans="5:28" x14ac:dyDescent="0.25">
      <c r="E48" s="8">
        <f t="shared" si="0"/>
        <v>4</v>
      </c>
      <c r="F48" s="123">
        <f t="shared" si="1"/>
        <v>5.0000000000000001E-3</v>
      </c>
      <c r="G48" s="119">
        <f>F48/COUNT($J$5:$J$14)</f>
        <v>5.0000000000000001E-4</v>
      </c>
      <c r="H48" s="112">
        <f t="shared" ca="1" si="2"/>
        <v>5.5665569163581967</v>
      </c>
      <c r="I48" s="113">
        <f t="shared" ca="1" si="3"/>
        <v>5.2109726679426789</v>
      </c>
      <c r="J48" s="112" cm="1">
        <f t="array" aca="1" ref="J48:K48" ca="1">TRANSPOSE((TRANSPOSE(H48:I48)+G48*MMULT(my_XT, my_t-MMULT(my_X, TRANSPOSE(H48:I48)))))</f>
        <v>5.6552776223529824</v>
      </c>
      <c r="K48" s="118">
        <f ca="1"/>
        <v>5.6470427244776804</v>
      </c>
      <c r="L48" s="119" cm="1">
        <f t="array" aca="1" ref="L48" ca="1">SUM((my_t-MMULT(my_X, TRANSPOSE(_xlfn.ANCHORARRAY(J48))))^2)*(1/(2*COUNT($J$5:$J$14)))</f>
        <v>209.36836547885005</v>
      </c>
    </row>
    <row r="49" spans="5:12" x14ac:dyDescent="0.25">
      <c r="E49" s="8">
        <f t="shared" si="0"/>
        <v>5</v>
      </c>
      <c r="F49" s="123">
        <f t="shared" si="1"/>
        <v>5.0000000000000001E-3</v>
      </c>
      <c r="G49" s="119">
        <f>F49/COUNT($J$5:$J$14)</f>
        <v>5.0000000000000001E-4</v>
      </c>
      <c r="H49" s="112">
        <f t="shared" ca="1" si="2"/>
        <v>5.6552776223529824</v>
      </c>
      <c r="I49" s="113">
        <f t="shared" ca="1" si="3"/>
        <v>5.6470427244776804</v>
      </c>
      <c r="J49" s="112" cm="1">
        <f t="array" aca="1" ref="J49:K49" ca="1">TRANSPOSE((TRANSPOSE(H49:I49)+G49*MMULT(my_XT, my_t-MMULT(my_X, TRANSPOSE(H49:I49)))))</f>
        <v>5.730976284037042</v>
      </c>
      <c r="K49" s="118">
        <f ca="1"/>
        <v>5.9929407694640524</v>
      </c>
      <c r="L49" s="119" cm="1">
        <f t="array" aca="1" ref="L49" ca="1">SUM((my_t-MMULT(my_X, TRANSPOSE(_xlfn.ANCHORARRAY(J49))))^2)*(1/(2*COUNT($J$5:$J$14)))</f>
        <v>186.85098976968959</v>
      </c>
    </row>
    <row r="50" spans="5:12" x14ac:dyDescent="0.25">
      <c r="E50" s="8">
        <f t="shared" si="0"/>
        <v>6</v>
      </c>
      <c r="F50" s="123">
        <f t="shared" si="1"/>
        <v>5.0000000000000001E-3</v>
      </c>
      <c r="G50" s="119">
        <f>F50/COUNT($J$5:$J$14)</f>
        <v>5.0000000000000001E-4</v>
      </c>
      <c r="H50" s="112">
        <f t="shared" ca="1" si="2"/>
        <v>5.730976284037042</v>
      </c>
      <c r="I50" s="113">
        <f t="shared" ca="1" si="3"/>
        <v>5.9929407694640524</v>
      </c>
      <c r="J50" s="112" cm="1">
        <f t="array" aca="1" ref="J50:K50" ca="1">TRANSPOSE((TRANSPOSE(H50:I50)+G50*MMULT(my_XT, my_t-MMULT(my_X, TRANSPOSE(H50:I50)))))</f>
        <v>5.796319023305049</v>
      </c>
      <c r="K50" s="118">
        <f ca="1"/>
        <v>6.2671593019100271</v>
      </c>
      <c r="L50" s="119" cm="1">
        <f t="array" aca="1" ref="L50" ca="1">SUM((my_t-MMULT(my_X, TRANSPOSE(_xlfn.ANCHORARRAY(J50))))^2)*(1/(2*COUNT($J$5:$J$14)))</f>
        <v>172.57419307751263</v>
      </c>
    </row>
    <row r="51" spans="5:12" x14ac:dyDescent="0.25">
      <c r="E51" s="8">
        <f t="shared" si="0"/>
        <v>7</v>
      </c>
      <c r="F51" s="123">
        <f t="shared" si="1"/>
        <v>5.0000000000000001E-3</v>
      </c>
      <c r="G51" s="119">
        <f>F51/COUNT($J$5:$J$14)</f>
        <v>5.0000000000000001E-4</v>
      </c>
      <c r="H51" s="112">
        <f t="shared" ca="1" si="2"/>
        <v>5.796319023305049</v>
      </c>
      <c r="I51" s="113">
        <f t="shared" ca="1" si="3"/>
        <v>6.2671593019100271</v>
      </c>
      <c r="J51" s="112" cm="1">
        <f t="array" aca="1" ref="J51:K51" ca="1">TRANSPOSE((TRANSPOSE(H51:I51)+G51*MMULT(my_XT, my_t-MMULT(my_X, TRANSPOSE(H51:I51)))))</f>
        <v>5.8534252153083122</v>
      </c>
      <c r="K51" s="118">
        <f ca="1"/>
        <v>6.4843985025719189</v>
      </c>
      <c r="L51" s="119" cm="1">
        <f t="array" aca="1" ref="L51" ca="1">SUM((my_t-MMULT(my_X, TRANSPOSE(_xlfn.ANCHORARRAY(J51))))^2)*(1/(2*COUNT($J$5:$J$14)))</f>
        <v>163.50476854770812</v>
      </c>
    </row>
    <row r="52" spans="5:12" x14ac:dyDescent="0.25">
      <c r="E52" s="8">
        <f t="shared" si="0"/>
        <v>8</v>
      </c>
      <c r="F52" s="123">
        <f t="shared" si="1"/>
        <v>5.0000000000000001E-3</v>
      </c>
      <c r="G52" s="119">
        <f>F52/COUNT($J$5:$J$14)</f>
        <v>5.0000000000000001E-4</v>
      </c>
      <c r="H52" s="112">
        <f t="shared" ca="1" si="2"/>
        <v>5.8534252153083122</v>
      </c>
      <c r="I52" s="113">
        <f t="shared" ca="1" si="3"/>
        <v>6.4843985025719189</v>
      </c>
      <c r="J52" s="112" cm="1">
        <f t="array" aca="1" ref="J52:K52" ca="1">TRANSPOSE((TRANSPOSE(H52:I52)+G52*MMULT(my_XT, my_t-MMULT(my_X, TRANSPOSE(H52:I52)))))</f>
        <v>5.9039796116084666</v>
      </c>
      <c r="K52" s="118">
        <f ca="1"/>
        <v>6.6563439371582129</v>
      </c>
      <c r="L52" s="119" cm="1">
        <f t="array" aca="1" ref="L52" ca="1">SUM((my_t-MMULT(my_X, TRANSPOSE(_xlfn.ANCHORARRAY(J52))))^2)*(1/(2*COUNT($J$5:$J$14)))</f>
        <v>157.72600695841908</v>
      </c>
    </row>
    <row r="53" spans="5:12" x14ac:dyDescent="0.25">
      <c r="E53" s="8">
        <f t="shared" si="0"/>
        <v>9</v>
      </c>
      <c r="F53" s="123">
        <f t="shared" si="1"/>
        <v>5.0000000000000001E-3</v>
      </c>
      <c r="G53" s="119">
        <f>F53/COUNT($J$5:$J$14)</f>
        <v>5.0000000000000001E-4</v>
      </c>
      <c r="H53" s="112">
        <f t="shared" ca="1" si="2"/>
        <v>5.9039796116084666</v>
      </c>
      <c r="I53" s="113">
        <f t="shared" ca="1" si="3"/>
        <v>6.6563439371582129</v>
      </c>
      <c r="J53" s="112" cm="1">
        <f t="array" aca="1" ref="J53:K53" ca="1">TRANSPOSE((TRANSPOSE(H53:I53)+G53*MMULT(my_XT, my_t-MMULT(my_X, TRANSPOSE(H53:I53)))))</f>
        <v>5.9493214698664785</v>
      </c>
      <c r="K53" s="118">
        <f ca="1"/>
        <v>6.7922847733742255</v>
      </c>
      <c r="L53" s="119" cm="1">
        <f t="array" aca="1" ref="L53" ca="1">SUM((my_t-MMULT(my_X, TRANSPOSE(_xlfn.ANCHORARRAY(J53))))^2)*(1/(2*COUNT($J$5:$J$14)))</f>
        <v>154.02672339289558</v>
      </c>
    </row>
    <row r="54" spans="5:12" x14ac:dyDescent="0.25">
      <c r="E54" s="8">
        <f t="shared" si="0"/>
        <v>10</v>
      </c>
      <c r="F54" s="123">
        <f t="shared" si="1"/>
        <v>5.0000000000000001E-3</v>
      </c>
      <c r="G54" s="119">
        <f>F54/COUNT($J$5:$J$14)</f>
        <v>5.0000000000000001E-4</v>
      </c>
      <c r="H54" s="112">
        <f t="shared" ca="1" si="2"/>
        <v>5.9493214698664785</v>
      </c>
      <c r="I54" s="113">
        <f t="shared" ca="1" si="3"/>
        <v>6.7922847733742255</v>
      </c>
      <c r="J54" s="112" cm="1">
        <f t="array" aca="1" ref="J54:K54" ca="1">TRANSPOSE((TRANSPOSE(H54:I54)+G54*MMULT(my_XT, my_t-MMULT(my_X, TRANSPOSE(H54:I54)))))</f>
        <v>5.9905154054125491</v>
      </c>
      <c r="K54" s="118">
        <f ca="1"/>
        <v>6.8996052181597385</v>
      </c>
      <c r="L54" s="119" cm="1">
        <f t="array" aca="1" ref="L54" ca="1">SUM((my_t-MMULT(my_X, TRANSPOSE(_xlfn.ANCHORARRAY(J54))))^2)*(1/(2*COUNT($J$5:$J$14)))</f>
        <v>151.64155971501563</v>
      </c>
    </row>
    <row r="55" spans="5:12" x14ac:dyDescent="0.25">
      <c r="E55" s="8">
        <f t="shared" si="0"/>
        <v>11</v>
      </c>
      <c r="F55" s="123">
        <f t="shared" si="1"/>
        <v>5.0000000000000001E-3</v>
      </c>
      <c r="G55" s="119">
        <f>F55/COUNT($J$5:$J$14)</f>
        <v>5.0000000000000001E-4</v>
      </c>
      <c r="H55" s="112">
        <f t="shared" ca="1" si="2"/>
        <v>5.9905154054125491</v>
      </c>
      <c r="I55" s="113">
        <f t="shared" ca="1" si="3"/>
        <v>6.8996052181597385</v>
      </c>
      <c r="J55" s="112" cm="1">
        <f t="array" aca="1" ref="J55:K55" ca="1">TRANSPOSE((TRANSPOSE(H55:I55)+G55*MMULT(my_XT, my_t-MMULT(my_X, TRANSPOSE(H55:I55)))))</f>
        <v>6.0284077130510516</v>
      </c>
      <c r="K55" s="118">
        <f ca="1"/>
        <v>6.9841751742724991</v>
      </c>
      <c r="L55" s="119" cm="1">
        <f t="array" aca="1" ref="L55" ca="1">SUM((my_t-MMULT(my_X, TRANSPOSE(_xlfn.ANCHORARRAY(J55))))^2)*(1/(2*COUNT($J$5:$J$14)))</f>
        <v>150.08687950532294</v>
      </c>
    </row>
    <row r="56" spans="5:12" x14ac:dyDescent="0.25">
      <c r="E56" s="8">
        <f t="shared" si="0"/>
        <v>12</v>
      </c>
      <c r="F56" s="123">
        <f t="shared" si="1"/>
        <v>5.0000000000000001E-3</v>
      </c>
      <c r="G56" s="119">
        <f>F56/COUNT($J$5:$J$14)</f>
        <v>5.0000000000000001E-4</v>
      </c>
      <c r="H56" s="112">
        <f t="shared" ca="1" si="2"/>
        <v>6.0284077130510516</v>
      </c>
      <c r="I56" s="113">
        <f t="shared" ca="1" si="3"/>
        <v>6.9841751742724991</v>
      </c>
      <c r="J56" s="112" cm="1">
        <f t="array" aca="1" ref="J56:K56" ca="1">TRANSPOSE((TRANSPOSE(H56:I56)+G56*MMULT(my_XT, my_t-MMULT(my_X, TRANSPOSE(H56:I56)))))</f>
        <v>6.0636711387672886</v>
      </c>
      <c r="K56" s="118">
        <f ca="1"/>
        <v>7.0506607836385173</v>
      </c>
      <c r="L56" s="119" cm="1">
        <f t="array" aca="1" ref="L56" ca="1">SUM((my_t-MMULT(my_X, TRANSPOSE(_xlfn.ANCHORARRAY(J56))))^2)*(1/(2*COUNT($J$5:$J$14)))</f>
        <v>149.05706868201955</v>
      </c>
    </row>
    <row r="57" spans="5:12" x14ac:dyDescent="0.25">
      <c r="E57" s="8">
        <f t="shared" si="0"/>
        <v>13</v>
      </c>
      <c r="F57" s="123">
        <f t="shared" si="1"/>
        <v>5.0000000000000001E-3</v>
      </c>
      <c r="G57" s="119">
        <f>F57/COUNT($J$5:$J$14)</f>
        <v>5.0000000000000001E-4</v>
      </c>
      <c r="H57" s="112">
        <f t="shared" ca="1" si="2"/>
        <v>6.0636711387672886</v>
      </c>
      <c r="I57" s="113">
        <f t="shared" ca="1" si="3"/>
        <v>7.0506607836385173</v>
      </c>
      <c r="J57" s="112" cm="1">
        <f t="array" aca="1" ref="J57:K57" ca="1">TRANSPOSE((TRANSPOSE(H57:I57)+G57*MMULT(my_XT, my_t-MMULT(my_X, TRANSPOSE(H57:I57)))))</f>
        <v>6.0968404699527818</v>
      </c>
      <c r="K57" s="118">
        <f ca="1"/>
        <v>7.1027712865539403</v>
      </c>
      <c r="L57" s="119" cm="1">
        <f t="array" aca="1" ref="L57" ca="1">SUM((my_t-MMULT(my_X, TRANSPOSE(_xlfn.ANCHORARRAY(J57))))^2)*(1/(2*COUNT($J$5:$J$14)))</f>
        <v>148.35900698559374</v>
      </c>
    </row>
    <row r="58" spans="5:12" x14ac:dyDescent="0.25">
      <c r="E58" s="8">
        <f t="shared" si="0"/>
        <v>14</v>
      </c>
      <c r="F58" s="123">
        <f t="shared" si="1"/>
        <v>5.0000000000000001E-3</v>
      </c>
      <c r="G58" s="119">
        <f>F58/COUNT($J$5:$J$14)</f>
        <v>5.0000000000000001E-4</v>
      </c>
      <c r="H58" s="112">
        <f t="shared" ca="1" si="2"/>
        <v>6.0968404699527818</v>
      </c>
      <c r="I58" s="113">
        <f t="shared" ca="1" si="3"/>
        <v>7.1027712865539403</v>
      </c>
      <c r="J58" s="112" cm="1">
        <f t="array" aca="1" ref="J58:K58" ca="1">TRANSPOSE((TRANSPOSE(H58:I58)+G58*MMULT(my_XT, my_t-MMULT(my_X, TRANSPOSE(H58:I58)))))</f>
        <v>6.1283408270257524</v>
      </c>
      <c r="K58" s="118">
        <f ca="1"/>
        <v>7.1434552566567415</v>
      </c>
      <c r="L58" s="119" cm="1">
        <f t="array" aca="1" ref="L58" ca="1">SUM((my_t-MMULT(my_X, TRANSPOSE(_xlfn.ANCHORARRAY(J58))))^2)*(1/(2*COUNT($J$5:$J$14)))</f>
        <v>147.87065995528087</v>
      </c>
    </row>
    <row r="59" spans="5:12" x14ac:dyDescent="0.25">
      <c r="E59" s="8">
        <f t="shared" si="0"/>
        <v>15</v>
      </c>
      <c r="F59" s="123">
        <f t="shared" si="1"/>
        <v>5.0000000000000001E-3</v>
      </c>
      <c r="G59" s="119">
        <f>F59/COUNT($J$5:$J$14)</f>
        <v>5.0000000000000001E-4</v>
      </c>
      <c r="H59" s="112">
        <f t="shared" ca="1" si="2"/>
        <v>6.1283408270257524</v>
      </c>
      <c r="I59" s="113">
        <f t="shared" ca="1" si="3"/>
        <v>7.1434552566567415</v>
      </c>
      <c r="J59" s="112" cm="1">
        <f t="array" aca="1" ref="J59:K59" ca="1">TRANSPOSE((TRANSPOSE(H59:I59)+G59*MMULT(my_XT, my_t-MMULT(my_X, TRANSPOSE(H59:I59)))))</f>
        <v>6.1585101531957429</v>
      </c>
      <c r="K59" s="118">
        <f ca="1"/>
        <v>7.1750565933459578</v>
      </c>
      <c r="L59" s="119" cm="1">
        <f t="array" aca="1" ref="L59" ca="1">SUM((my_t-MMULT(my_X, TRANSPOSE(_xlfn.ANCHORARRAY(J59))))^2)*(1/(2*COUNT($J$5:$J$14)))</f>
        <v>147.51491284848572</v>
      </c>
    </row>
    <row r="60" spans="5:12" x14ac:dyDescent="0.25">
      <c r="E60" s="8">
        <f t="shared" si="0"/>
        <v>16</v>
      </c>
      <c r="F60" s="123">
        <f t="shared" si="1"/>
        <v>5.0000000000000001E-3</v>
      </c>
      <c r="G60" s="119">
        <f>F60/COUNT($J$5:$J$14)</f>
        <v>5.0000000000000001E-4</v>
      </c>
      <c r="H60" s="112">
        <f t="shared" ca="1" si="2"/>
        <v>6.1585101531957429</v>
      </c>
      <c r="I60" s="113">
        <f t="shared" ca="1" si="3"/>
        <v>7.1750565933459578</v>
      </c>
      <c r="J60" s="112" cm="1">
        <f t="array" aca="1" ref="J60:K60" ca="1">TRANSPOSE((TRANSPOSE(H60:I60)+G60*MMULT(my_XT, my_t-MMULT(my_X, TRANSPOSE(H60:I60)))))</f>
        <v>6.1876170921780824</v>
      </c>
      <c r="K60" s="118">
        <f ca="1"/>
        <v>7.199438524321355</v>
      </c>
      <c r="L60" s="119" cm="1">
        <f t="array" aca="1" ref="L60" ca="1">SUM((my_t-MMULT(my_X, TRANSPOSE(_xlfn.ANCHORARRAY(J60))))^2)*(1/(2*COUNT($J$5:$J$14)))</f>
        <v>147.24303607297807</v>
      </c>
    </row>
    <row r="61" spans="5:12" x14ac:dyDescent="0.25">
      <c r="E61" s="8">
        <f t="shared" si="0"/>
        <v>17</v>
      </c>
      <c r="F61" s="123">
        <f t="shared" si="1"/>
        <v>5.0000000000000001E-3</v>
      </c>
      <c r="G61" s="119">
        <f>F61/COUNT($J$5:$J$14)</f>
        <v>5.0000000000000001E-4</v>
      </c>
      <c r="H61" s="112">
        <f t="shared" ca="1" si="2"/>
        <v>6.1876170921780824</v>
      </c>
      <c r="I61" s="113">
        <f t="shared" ca="1" si="3"/>
        <v>7.199438524321355</v>
      </c>
      <c r="J61" s="112" cm="1">
        <f t="array" aca="1" ref="J61:K61" ca="1">TRANSPOSE((TRANSPOSE(H61:I61)+G61*MMULT(my_XT, my_t-MMULT(my_X, TRANSPOSE(H61:I61)))))</f>
        <v>6.2158751996665256</v>
      </c>
      <c r="K61" s="118">
        <f ca="1"/>
        <v>7.2180821785135603</v>
      </c>
      <c r="L61" s="119" cm="1">
        <f t="array" aca="1" ref="L61" ca="1">SUM((my_t-MMULT(my_X, TRANSPOSE(_xlfn.ANCHORARRAY(J61))))^2)*(1/(2*COUNT($J$5:$J$14)))</f>
        <v>147.02423685353799</v>
      </c>
    </row>
    <row r="62" spans="5:12" x14ac:dyDescent="0.25">
      <c r="E62" s="8">
        <f t="shared" si="0"/>
        <v>18</v>
      </c>
      <c r="F62" s="123">
        <f t="shared" si="1"/>
        <v>5.0000000000000001E-3</v>
      </c>
      <c r="G62" s="119">
        <f>F62/COUNT($J$5:$J$14)</f>
        <v>5.0000000000000001E-4</v>
      </c>
      <c r="H62" s="112">
        <f t="shared" ca="1" si="2"/>
        <v>6.2158751996665256</v>
      </c>
      <c r="I62" s="113">
        <f t="shared" ca="1" si="3"/>
        <v>7.2180821785135603</v>
      </c>
      <c r="J62" s="112" cm="1">
        <f t="array" aca="1" ref="J62:K62" ca="1">TRANSPOSE((TRANSPOSE(H62:I62)+G62*MMULT(my_XT, my_t-MMULT(my_X, TRANSPOSE(H62:I62)))))</f>
        <v>6.2434542404123521</v>
      </c>
      <c r="K62" s="118">
        <f ca="1"/>
        <v>7.2321649443385132</v>
      </c>
      <c r="L62" s="119" cm="1">
        <f t="array" aca="1" ref="L62" ca="1">SUM((my_t-MMULT(my_X, TRANSPOSE(_xlfn.ANCHORARRAY(J62))))^2)*(1/(2*COUNT($J$5:$J$14)))</f>
        <v>146.83905684166731</v>
      </c>
    </row>
    <row r="63" spans="5:12" x14ac:dyDescent="0.25">
      <c r="E63" s="8">
        <f t="shared" si="0"/>
        <v>19</v>
      </c>
      <c r="F63" s="123">
        <f t="shared" si="1"/>
        <v>5.0000000000000001E-3</v>
      </c>
      <c r="G63" s="119">
        <f>F63/COUNT($J$5:$J$14)</f>
        <v>5.0000000000000001E-4</v>
      </c>
      <c r="H63" s="112">
        <f t="shared" ca="1" si="2"/>
        <v>6.2434542404123521</v>
      </c>
      <c r="I63" s="113">
        <f t="shared" ca="1" si="3"/>
        <v>7.2321649443385132</v>
      </c>
      <c r="J63" s="112" cm="1">
        <f t="array" aca="1" ref="J63:K63" ca="1">TRANSPOSE((TRANSPOSE(H63:I63)+G63*MMULT(my_XT, my_t-MMULT(my_X, TRANSPOSE(H63:I63)))))</f>
        <v>6.2704891685742288</v>
      </c>
      <c r="K63" s="118">
        <f ca="1"/>
        <v>7.2426227587664007</v>
      </c>
      <c r="L63" s="119" cm="1">
        <f t="array" aca="1" ref="L63" ca="1">SUM((my_t-MMULT(my_X, TRANSPOSE(_xlfn.ANCHORARRAY(J63))))^2)*(1/(2*COUNT($J$5:$J$14)))</f>
        <v>146.67520000927934</v>
      </c>
    </row>
    <row r="64" spans="5:12" x14ac:dyDescent="0.25">
      <c r="E64" s="8">
        <f t="shared" si="0"/>
        <v>20</v>
      </c>
      <c r="F64" s="104">
        <f t="shared" si="1"/>
        <v>5.0000000000000001E-3</v>
      </c>
      <c r="G64" s="105">
        <f>F64/COUNT($J$5:$J$14)</f>
        <v>5.0000000000000001E-4</v>
      </c>
      <c r="H64" s="114">
        <f t="shared" ref="H64:H65" ca="1" si="4">J63</f>
        <v>6.2704891685742288</v>
      </c>
      <c r="I64" s="115">
        <f t="shared" ref="I64:I65" ca="1" si="5">K63</f>
        <v>7.2426227587664007</v>
      </c>
      <c r="J64" s="114" cm="1">
        <f t="array" aca="1" ref="J64:K64" ca="1">TRANSPOSE((TRANSPOSE(H64:I64)+G64*MMULT(my_XT, my_t-MMULT(my_X, TRANSPOSE(H64:I64)))))</f>
        <v>6.2970872664381234</v>
      </c>
      <c r="K64" s="120">
        <f ca="1"/>
        <v>7.2501996225659147</v>
      </c>
      <c r="L64" s="105" cm="1">
        <f t="array" aca="1" ref="L64" ca="1">SUM((my_t-MMULT(my_X, TRANSPOSE(_xlfn.ANCHORARRAY(J64))))^2)*(1/(2*COUNT($J$5:$J$14)))</f>
        <v>146.52489625940515</v>
      </c>
    </row>
    <row r="65" spans="5:12" x14ac:dyDescent="0.25">
      <c r="E65" s="8">
        <f t="shared" si="0"/>
        <v>21</v>
      </c>
      <c r="F65" s="123">
        <f t="shared" si="1"/>
        <v>5.0000000000000001E-3</v>
      </c>
      <c r="G65" s="119">
        <f>F65/COUNT($J$5:$J$14)</f>
        <v>5.0000000000000001E-4</v>
      </c>
      <c r="H65" s="112">
        <f t="shared" ca="1" si="4"/>
        <v>6.2970872664381234</v>
      </c>
      <c r="I65" s="113">
        <f t="shared" ca="1" si="5"/>
        <v>7.2501996225659147</v>
      </c>
      <c r="J65" s="112" cm="1">
        <f t="array" aca="1" ref="J65:K65" ca="1">TRANSPOSE((TRANSPOSE(H65:I65)+G65*MMULT(my_XT, my_t-MMULT(my_X, TRANSPOSE(H65:I65)))))</f>
        <v>6.3233338191764021</v>
      </c>
      <c r="K65" s="118">
        <f ca="1"/>
        <v>7.2554869612941673</v>
      </c>
      <c r="L65" s="119" cm="1">
        <f t="array" aca="1" ref="L65" ca="1">SUM((my_t-MMULT(my_X, TRANSPOSE(_xlfn.ANCHORARRAY(J65))))^2)*(1/(2*COUNT($J$5:$J$14)))</f>
        <v>146.38323546948286</v>
      </c>
    </row>
    <row r="66" spans="5:12" x14ac:dyDescent="0.25">
      <c r="E66" s="8">
        <f t="shared" si="0"/>
        <v>22</v>
      </c>
      <c r="F66" s="123">
        <f t="shared" si="1"/>
        <v>5.0000000000000001E-3</v>
      </c>
      <c r="G66" s="119">
        <f>F66/COUNT($J$5:$J$14)</f>
        <v>5.0000000000000001E-4</v>
      </c>
      <c r="H66" s="112">
        <f t="shared" ref="H66:H85" ca="1" si="6">J65</f>
        <v>6.3233338191764021</v>
      </c>
      <c r="I66" s="113">
        <f t="shared" ref="I66:I85" ca="1" si="7">K65</f>
        <v>7.2554869612941673</v>
      </c>
      <c r="J66" s="112" cm="1">
        <f t="array" aca="1" ref="J66:K66" ca="1">TRANSPOSE((TRANSPOSE(H66:I66)+G66*MMULT(my_XT, my_t-MMULT(my_X, TRANSPOSE(H66:I66)))))</f>
        <v>6.3492966258653727</v>
      </c>
      <c r="K66" s="118">
        <f ca="1"/>
        <v>7.2589549143986662</v>
      </c>
      <c r="L66" s="119" cm="1">
        <f t="array" aca="1" ref="L66" ca="1">SUM((my_t-MMULT(my_X, TRANSPOSE(_xlfn.ANCHORARRAY(J66))))^2)*(1/(2*COUNT($J$5:$J$14)))</f>
        <v>146.24711475920981</v>
      </c>
    </row>
    <row r="67" spans="5:12" x14ac:dyDescent="0.25">
      <c r="E67" s="8">
        <f t="shared" si="0"/>
        <v>23</v>
      </c>
      <c r="F67" s="123">
        <f t="shared" si="1"/>
        <v>5.0000000000000001E-3</v>
      </c>
      <c r="G67" s="119">
        <f>F67/COUNT($J$5:$J$14)</f>
        <v>5.0000000000000001E-4</v>
      </c>
      <c r="H67" s="112">
        <f t="shared" ca="1" si="6"/>
        <v>6.3492966258653727</v>
      </c>
      <c r="I67" s="113">
        <f t="shared" ca="1" si="7"/>
        <v>7.2589549143986662</v>
      </c>
      <c r="J67" s="112" cm="1">
        <f t="array" aca="1" ref="J67:K67" ca="1">TRANSPOSE((TRANSPOSE(H67:I67)+G67*MMULT(my_XT, my_t-MMULT(my_X, TRANSPOSE(H67:I67)))))</f>
        <v>6.375029585413599</v>
      </c>
      <c r="K67" s="118">
        <f ca="1"/>
        <v>7.260977207760015</v>
      </c>
      <c r="L67" s="119" cm="1">
        <f t="array" aca="1" ref="L67" ca="1">SUM((my_t-MMULT(my_X, TRANSPOSE(_xlfn.ANCHORARRAY(J67))))^2)*(1/(2*COUNT($J$5:$J$14)))</f>
        <v>146.11457326018737</v>
      </c>
    </row>
    <row r="68" spans="5:12" x14ac:dyDescent="0.25">
      <c r="E68" s="8">
        <f t="shared" si="0"/>
        <v>24</v>
      </c>
      <c r="F68" s="123">
        <f t="shared" si="1"/>
        <v>5.0000000000000001E-3</v>
      </c>
      <c r="G68" s="119">
        <f>F68/COUNT($J$5:$J$14)</f>
        <v>5.0000000000000001E-4</v>
      </c>
      <c r="H68" s="112">
        <f t="shared" ca="1" si="6"/>
        <v>6.375029585413599</v>
      </c>
      <c r="I68" s="113">
        <f t="shared" ca="1" si="7"/>
        <v>7.260977207760015</v>
      </c>
      <c r="J68" s="112" cm="1">
        <f t="array" aca="1" ref="J68:K68" ca="1">TRANSPOSE((TRANSPOSE(H68:I68)+G68*MMULT(my_XT, my_t-MMULT(my_X, TRANSPOSE(H68:I68)))))</f>
        <v>6.4005755471120764</v>
      </c>
      <c r="K68" s="118">
        <f ca="1"/>
        <v>7.261850925540303</v>
      </c>
      <c r="L68" s="119" cm="1">
        <f t="array" aca="1" ref="L68" ca="1">SUM((my_t-MMULT(my_X, TRANSPOSE(_xlfn.ANCHORARRAY(J68))))^2)*(1/(2*COUNT($J$5:$J$14)))</f>
        <v>145.98437175122771</v>
      </c>
    </row>
    <row r="69" spans="5:12" x14ac:dyDescent="0.25">
      <c r="E69" s="8">
        <f t="shared" si="0"/>
        <v>25</v>
      </c>
      <c r="F69" s="123">
        <f t="shared" si="1"/>
        <v>5.0000000000000001E-3</v>
      </c>
      <c r="G69" s="119">
        <f>F69/COUNT($J$5:$J$14)</f>
        <v>5.0000000000000001E-4</v>
      </c>
      <c r="H69" s="112">
        <f t="shared" ca="1" si="6"/>
        <v>6.4005755471120764</v>
      </c>
      <c r="I69" s="113">
        <f t="shared" ca="1" si="7"/>
        <v>7.261850925540303</v>
      </c>
      <c r="J69" s="112" cm="1">
        <f t="array" aca="1" ref="J69:K69" ca="1">TRANSPOSE((TRANSPOSE(H69:I69)+G69*MMULT(my_XT, my_t-MMULT(my_X, TRANSPOSE(H69:I69)))))</f>
        <v>6.4259685766126884</v>
      </c>
      <c r="K69" s="118">
        <f ca="1"/>
        <v>7.2618122273533725</v>
      </c>
      <c r="L69" s="119" cm="1">
        <f t="array" aca="1" ref="L69" ca="1">SUM((my_t-MMULT(my_X, TRANSPOSE(_xlfn.ANCHORARRAY(J69))))^2)*(1/(2*COUNT($J$5:$J$14)))</f>
        <v>145.85572702634576</v>
      </c>
    </row>
    <row r="70" spans="5:12" x14ac:dyDescent="0.25">
      <c r="E70" s="8">
        <f t="shared" si="0"/>
        <v>26</v>
      </c>
      <c r="F70" s="123">
        <f t="shared" si="1"/>
        <v>5.0000000000000001E-3</v>
      </c>
      <c r="G70" s="119">
        <f>F70/COUNT($J$5:$J$14)</f>
        <v>5.0000000000000001E-4</v>
      </c>
      <c r="H70" s="112">
        <f t="shared" ca="1" si="6"/>
        <v>6.4259685766126884</v>
      </c>
      <c r="I70" s="113">
        <f t="shared" ca="1" si="7"/>
        <v>7.2618122273533725</v>
      </c>
      <c r="J70" s="112" cm="1">
        <f t="array" aca="1" ref="J70:K70" ca="1">TRANSPOSE((TRANSPOSE(H70:I70)+G70*MMULT(my_XT, my_t-MMULT(my_X, TRANSPOSE(H70:I70)))))</f>
        <v>6.4512357572149996</v>
      </c>
      <c r="K70" s="118">
        <f ca="1"/>
        <v>7.2610488422631798</v>
      </c>
      <c r="L70" s="119" cm="1">
        <f t="array" aca="1" ref="L70" ca="1">SUM((my_t-MMULT(my_X, TRANSPOSE(_xlfn.ANCHORARRAY(J70))))^2)*(1/(2*COUNT($J$5:$J$14)))</f>
        <v>145.72814403964458</v>
      </c>
    </row>
    <row r="71" spans="5:12" x14ac:dyDescent="0.25">
      <c r="E71" s="8">
        <f t="shared" si="0"/>
        <v>27</v>
      </c>
      <c r="F71" s="123">
        <f t="shared" si="1"/>
        <v>5.0000000000000001E-3</v>
      </c>
      <c r="G71" s="119">
        <f>F71/COUNT($J$5:$J$14)</f>
        <v>5.0000000000000001E-4</v>
      </c>
      <c r="H71" s="112">
        <f t="shared" ca="1" si="6"/>
        <v>6.4512357572149996</v>
      </c>
      <c r="I71" s="113">
        <f t="shared" ca="1" si="7"/>
        <v>7.2610488422631798</v>
      </c>
      <c r="J71" s="112" cm="1">
        <f t="array" aca="1" ref="J71:K71" ca="1">TRANSPOSE((TRANSPOSE(H71:I71)+G71*MMULT(my_XT, my_t-MMULT(my_X, TRANSPOSE(H71:I71)))))</f>
        <v>6.4763986217572258</v>
      </c>
      <c r="K71" s="118">
        <f ca="1"/>
        <v>7.2597100005967246</v>
      </c>
      <c r="L71" s="119" cm="1">
        <f t="array" aca="1" ref="L71" ca="1">SUM((my_t-MMULT(my_X, TRANSPOSE(_xlfn.ANCHORARRAY(J71))))^2)*(1/(2*COUNT($J$5:$J$14)))</f>
        <v>145.60130983624694</v>
      </c>
    </row>
    <row r="72" spans="5:12" x14ac:dyDescent="0.25">
      <c r="E72" s="8">
        <f t="shared" si="0"/>
        <v>28</v>
      </c>
      <c r="F72" s="123">
        <f t="shared" si="1"/>
        <v>5.0000000000000001E-3</v>
      </c>
      <c r="G72" s="119">
        <f>F72/COUNT($J$5:$J$14)</f>
        <v>5.0000000000000001E-4</v>
      </c>
      <c r="H72" s="112">
        <f t="shared" ca="1" si="6"/>
        <v>6.4763986217572258</v>
      </c>
      <c r="I72" s="113">
        <f t="shared" ca="1" si="7"/>
        <v>7.2597100005967246</v>
      </c>
      <c r="J72" s="112" cm="1">
        <f t="array" aca="1" ref="J72:K72" ca="1">TRANSPOSE((TRANSPOSE(H72:I72)+G72*MMULT(my_XT, my_t-MMULT(my_X, TRANSPOSE(H72:I72)))))</f>
        <v>6.5014742908646097</v>
      </c>
      <c r="K72" s="118">
        <f ca="1"/>
        <v>7.2579143290073702</v>
      </c>
      <c r="L72" s="119" cm="1">
        <f t="array" aca="1" ref="L72" ca="1">SUM((my_t-MMULT(my_X, TRANSPOSE(_xlfn.ANCHORARRAY(J72))))^2)*(1/(2*COUNT($J$5:$J$14)))</f>
        <v>145.47502652635316</v>
      </c>
    </row>
    <row r="73" spans="5:12" x14ac:dyDescent="0.25">
      <c r="E73" s="8">
        <f t="shared" si="0"/>
        <v>29</v>
      </c>
      <c r="F73" s="123">
        <f t="shared" si="1"/>
        <v>5.0000000000000001E-3</v>
      </c>
      <c r="G73" s="119">
        <f>F73/COUNT($J$5:$J$14)</f>
        <v>5.0000000000000001E-4</v>
      </c>
      <c r="H73" s="112">
        <f t="shared" ca="1" si="6"/>
        <v>6.5014742908646097</v>
      </c>
      <c r="I73" s="113">
        <f t="shared" ca="1" si="7"/>
        <v>7.2579143290073702</v>
      </c>
      <c r="J73" s="112" cm="1">
        <f t="array" aca="1" ref="J73:K73" ca="1">TRANSPOSE((TRANSPOSE(H73:I73)+G73*MMULT(my_XT, my_t-MMULT(my_X, TRANSPOSE(H73:I73)))))</f>
        <v>6.5264763777734522</v>
      </c>
      <c r="K73" s="118">
        <f ca="1"/>
        <v>7.2557561264715034</v>
      </c>
      <c r="L73" s="119" cm="1">
        <f t="array" aca="1" ref="L73" ca="1">SUM((my_t-MMULT(my_X, TRANSPOSE(_xlfn.ANCHORARRAY(J73))))^2)*(1/(2*COUNT($J$5:$J$14)))</f>
        <v>145.34916893098023</v>
      </c>
    </row>
    <row r="74" spans="5:12" x14ac:dyDescent="0.25">
      <c r="E74" s="8">
        <f t="shared" si="0"/>
        <v>30</v>
      </c>
      <c r="F74" s="123">
        <f t="shared" si="1"/>
        <v>5.0000000000000001E-3</v>
      </c>
      <c r="G74" s="119">
        <f>F74/COUNT($J$5:$J$14)</f>
        <v>5.0000000000000001E-4</v>
      </c>
      <c r="H74" s="112">
        <f t="shared" ca="1" si="6"/>
        <v>6.5264763777734522</v>
      </c>
      <c r="I74" s="113">
        <f t="shared" ca="1" si="7"/>
        <v>7.2557561264715034</v>
      </c>
      <c r="J74" s="112" cm="1">
        <f t="array" aca="1" ref="J74:K74" ca="1">TRANSPOSE((TRANSPOSE(H74:I74)+G74*MMULT(my_XT, my_t-MMULT(my_X, TRANSPOSE(H74:I74)))))</f>
        <v>6.5514157075998973</v>
      </c>
      <c r="K74" s="118">
        <f ca="1"/>
        <v>7.2533103532458743</v>
      </c>
      <c r="L74" s="119" cm="1">
        <f t="array" aca="1" ref="L74" ca="1">SUM((my_t-MMULT(my_X, TRANSPOSE(_xlfn.ANCHORARRAY(J74))))^2)*(1/(2*COUNT($J$5:$J$14)))</f>
        <v>145.22365781794539</v>
      </c>
    </row>
    <row r="75" spans="5:12" x14ac:dyDescent="0.25">
      <c r="E75" s="8">
        <f t="shared" si="0"/>
        <v>31</v>
      </c>
      <c r="F75" s="123">
        <f t="shared" si="1"/>
        <v>5.0000000000000001E-3</v>
      </c>
      <c r="G75" s="119">
        <f>F75/COUNT($J$5:$J$14)</f>
        <v>5.0000000000000001E-4</v>
      </c>
      <c r="H75" s="112">
        <f t="shared" ca="1" si="6"/>
        <v>6.5514157075998973</v>
      </c>
      <c r="I75" s="113">
        <f t="shared" ca="1" si="7"/>
        <v>7.2533103532458743</v>
      </c>
      <c r="J75" s="112" cm="1">
        <f t="array" aca="1" ref="J75:K75" ca="1">TRANSPOSE((TRANSPOSE(H75:I75)+G75*MMULT(my_XT, my_t-MMULT(my_X, TRANSPOSE(H75:I75)))))</f>
        <v>6.5763008891059034</v>
      </c>
      <c r="K75" s="118">
        <f ca="1"/>
        <v>7.250636596723008</v>
      </c>
      <c r="L75" s="119" cm="1">
        <f t="array" aca="1" ref="L75" ca="1">SUM((my_t-MMULT(my_X, TRANSPOSE(_xlfn.ANCHORARRAY(J75))))^2)*(1/(2*COUNT($J$5:$J$14)))</f>
        <v>145.09844298945779</v>
      </c>
    </row>
    <row r="76" spans="5:12" x14ac:dyDescent="0.25">
      <c r="E76" s="8">
        <f t="shared" si="0"/>
        <v>32</v>
      </c>
      <c r="F76" s="123">
        <f t="shared" si="1"/>
        <v>5.0000000000000001E-3</v>
      </c>
      <c r="G76" s="119">
        <f>F76/COUNT($J$5:$J$14)</f>
        <v>5.0000000000000001E-4</v>
      </c>
      <c r="H76" s="112">
        <f t="shared" ca="1" si="6"/>
        <v>6.5763008891059034</v>
      </c>
      <c r="I76" s="113">
        <f t="shared" ca="1" si="7"/>
        <v>7.250636596723008</v>
      </c>
      <c r="J76" s="112" cm="1">
        <f t="array" aca="1" ref="J76:K76" ca="1">TRANSPOSE((TRANSPOSE(H76:I76)+G76*MMULT(my_XT, my_t-MMULT(my_X, TRANSPOSE(H76:I76)))))</f>
        <v>6.601138769211282</v>
      </c>
      <c r="K76" s="118">
        <f ca="1"/>
        <v>7.2477822239955776</v>
      </c>
      <c r="L76" s="119" cm="1">
        <f t="array" aca="1" ref="L76" ca="1">SUM((my_t-MMULT(my_X, TRANSPOSE(_xlfn.ANCHORARRAY(J76))))^2)*(1/(2*COUNT($J$5:$J$14)))</f>
        <v>144.97349259502354</v>
      </c>
    </row>
    <row r="77" spans="5:12" x14ac:dyDescent="0.25">
      <c r="E77" s="8">
        <f t="shared" si="0"/>
        <v>33</v>
      </c>
      <c r="F77" s="123">
        <f t="shared" si="1"/>
        <v>5.0000000000000001E-3</v>
      </c>
      <c r="G77" s="119">
        <f>F77/COUNT($J$5:$J$14)</f>
        <v>5.0000000000000001E-4</v>
      </c>
      <c r="H77" s="112">
        <f t="shared" ca="1" si="6"/>
        <v>6.601138769211282</v>
      </c>
      <c r="I77" s="113">
        <f t="shared" ca="1" si="7"/>
        <v>7.2477822239955776</v>
      </c>
      <c r="J77" s="112" cm="1">
        <f t="array" aca="1" ref="J77:K77" ca="1">TRANSPOSE((TRANSPOSE(H77:I77)+G77*MMULT(my_XT, my_t-MMULT(my_X, TRANSPOSE(H77:I77)))))</f>
        <v>6.6259347942974562</v>
      </c>
      <c r="K77" s="118">
        <f ca="1"/>
        <v>7.2447848879140082</v>
      </c>
      <c r="L77" s="119" cm="1">
        <f t="array" aca="1" ref="L77" ca="1">SUM((my_t-MMULT(my_X, TRANSPOSE(_xlfn.ANCHORARRAY(J77))))^2)*(1/(2*COUNT($J$5:$J$14)))</f>
        <v>144.84878637817971</v>
      </c>
    </row>
    <row r="78" spans="5:12" x14ac:dyDescent="0.25">
      <c r="E78" s="8">
        <f t="shared" si="0"/>
        <v>34</v>
      </c>
      <c r="F78" s="123">
        <f t="shared" si="1"/>
        <v>5.0000000000000001E-3</v>
      </c>
      <c r="G78" s="119">
        <f>F78/COUNT($J$5:$J$14)</f>
        <v>5.0000000000000001E-4</v>
      </c>
      <c r="H78" s="112">
        <f t="shared" ca="1" si="6"/>
        <v>6.6259347942974562</v>
      </c>
      <c r="I78" s="113">
        <f t="shared" ca="1" si="7"/>
        <v>7.2447848879140082</v>
      </c>
      <c r="J78" s="112" cm="1">
        <f t="array" aca="1" ref="J78:K78" ca="1">TRANSPOSE((TRANSPOSE(H78:I78)+G78*MMULT(my_XT, my_t-MMULT(my_X, TRANSPOSE(H78:I78)))))</f>
        <v>6.6506932974174724</v>
      </c>
      <c r="K78" s="118">
        <f ca="1"/>
        <v>7.2416745192185896</v>
      </c>
      <c r="L78" s="119" cm="1">
        <f t="array" aca="1" ref="L78" ca="1">SUM((my_t-MMULT(my_X, TRANSPOSE(_xlfn.ANCHORARRAY(J78))))^2)*(1/(2*COUNT($J$5:$J$14)))</f>
        <v>144.72431140904845</v>
      </c>
    </row>
    <row r="79" spans="5:12" x14ac:dyDescent="0.25">
      <c r="E79" s="8">
        <f t="shared" si="0"/>
        <v>35</v>
      </c>
      <c r="F79" s="123">
        <f t="shared" si="1"/>
        <v>5.0000000000000001E-3</v>
      </c>
      <c r="G79" s="119">
        <f>F79/COUNT($J$5:$J$14)</f>
        <v>5.0000000000000001E-4</v>
      </c>
      <c r="H79" s="112">
        <f t="shared" ca="1" si="6"/>
        <v>6.6506932974174724</v>
      </c>
      <c r="I79" s="113">
        <f t="shared" ca="1" si="7"/>
        <v>7.2416745192185896</v>
      </c>
      <c r="J79" s="112" cm="1">
        <f t="array" aca="1" ref="J79:K79" ca="1">TRANSPOSE((TRANSPOSE(H79:I79)+G79*MMULT(my_XT, my_t-MMULT(my_X, TRANSPOSE(H79:I79)))))</f>
        <v>6.6754177266069075</v>
      </c>
      <c r="K79" s="118">
        <f ca="1"/>
        <v>7.2384749101384847</v>
      </c>
      <c r="L79" s="119" cm="1">
        <f t="array" aca="1" ref="L79" ca="1">SUM((my_t-MMULT(my_X, TRANSPOSE(_xlfn.ANCHORARRAY(J79))))^2)*(1/(2*COUNT($J$5:$J$14)))</f>
        <v>144.60005938770067</v>
      </c>
    </row>
    <row r="80" spans="5:12" x14ac:dyDescent="0.25">
      <c r="E80" s="8">
        <f t="shared" si="0"/>
        <v>36</v>
      </c>
      <c r="F80" s="123">
        <f t="shared" si="1"/>
        <v>5.0000000000000001E-3</v>
      </c>
      <c r="G80" s="119">
        <f>F80/COUNT($J$5:$J$14)</f>
        <v>5.0000000000000001E-4</v>
      </c>
      <c r="H80" s="112">
        <f t="shared" ca="1" si="6"/>
        <v>6.6754177266069075</v>
      </c>
      <c r="I80" s="113">
        <f t="shared" ca="1" si="7"/>
        <v>7.2384749101384847</v>
      </c>
      <c r="J80" s="112" cm="1">
        <f t="array" aca="1" ref="J80:K80" ca="1">TRANSPOSE((TRANSPOSE(H80:I80)+G80*MMULT(my_XT, my_t-MMULT(my_X, TRANSPOSE(H80:I80)))))</f>
        <v>6.7001108263743108</v>
      </c>
      <c r="K80" s="118">
        <f ca="1"/>
        <v>7.2352049732368773</v>
      </c>
      <c r="L80" s="119" cm="1">
        <f t="array" aca="1" ref="L80" ca="1">SUM((my_t-MMULT(my_X, TRANSPOSE(_xlfn.ANCHORARRAY(J80))))^2)*(1/(2*COUNT($J$5:$J$14)))</f>
        <v>144.47602494012924</v>
      </c>
    </row>
    <row r="81" spans="5:12" x14ac:dyDescent="0.25">
      <c r="E81" s="8">
        <f t="shared" si="0"/>
        <v>37</v>
      </c>
      <c r="F81" s="123">
        <f t="shared" si="1"/>
        <v>5.0000000000000001E-3</v>
      </c>
      <c r="G81" s="119">
        <f>F81/COUNT($J$5:$J$14)</f>
        <v>5.0000000000000001E-4</v>
      </c>
      <c r="H81" s="112">
        <f t="shared" ca="1" si="6"/>
        <v>6.7001108263743108</v>
      </c>
      <c r="I81" s="113">
        <f t="shared" ca="1" si="7"/>
        <v>7.2352049732368773</v>
      </c>
      <c r="J81" s="112" cm="1">
        <f t="array" aca="1" ref="J81:K81" ca="1">TRANSPOSE((TRANSPOSE(H81:I81)+G81*MMULT(my_XT, my_t-MMULT(my_X, TRANSPOSE(H81:I81)))))</f>
        <v>6.7247747819728039</v>
      </c>
      <c r="K81" s="118">
        <f ca="1"/>
        <v>7.2318797421005874</v>
      </c>
      <c r="L81" s="119" cm="1">
        <f t="array" aca="1" ref="L81" ca="1">SUM((my_t-MMULT(my_X, TRANSPOSE(_xlfn.ANCHORARRAY(J81))))^2)*(1/(2*COUNT($J$5:$J$14)))</f>
        <v>144.35220454145878</v>
      </c>
    </row>
    <row r="82" spans="5:12" x14ac:dyDescent="0.25">
      <c r="E82" s="8">
        <f t="shared" si="0"/>
        <v>38</v>
      </c>
      <c r="F82" s="123">
        <f t="shared" si="1"/>
        <v>5.0000000000000001E-3</v>
      </c>
      <c r="G82" s="119">
        <f>F82/COUNT($J$5:$J$14)</f>
        <v>5.0000000000000001E-4</v>
      </c>
      <c r="H82" s="112">
        <f t="shared" ca="1" si="6"/>
        <v>6.7247747819728039</v>
      </c>
      <c r="I82" s="113">
        <f t="shared" ca="1" si="7"/>
        <v>7.2318797421005874</v>
      </c>
      <c r="J82" s="112" cm="1">
        <f t="array" aca="1" ref="J82:K82" ca="1">TRANSPOSE((TRANSPOSE(H82:I82)+G82*MMULT(my_XT, my_t-MMULT(my_X, TRANSPOSE(H82:I82)))))</f>
        <v>6.7494113340854316</v>
      </c>
      <c r="K82" s="118">
        <f ca="1"/>
        <v>7.2285111668149753</v>
      </c>
      <c r="L82" s="119" cm="1">
        <f t="array" aca="1" ref="L82" ca="1">SUM((my_t-MMULT(my_X, TRANSPOSE(_xlfn.ANCHORARRAY(J82))))^2)*(1/(2*COUNT($J$5:$J$14)))</f>
        <v>144.22859583551323</v>
      </c>
    </row>
    <row r="83" spans="5:12" x14ac:dyDescent="0.25">
      <c r="E83" s="8">
        <f t="shared" si="0"/>
        <v>39</v>
      </c>
      <c r="F83" s="123">
        <f t="shared" si="1"/>
        <v>5.0000000000000001E-3</v>
      </c>
      <c r="G83" s="119">
        <f>F83/COUNT($J$5:$J$14)</f>
        <v>5.0000000000000001E-4</v>
      </c>
      <c r="H83" s="112">
        <f t="shared" ca="1" si="6"/>
        <v>6.7494113340854316</v>
      </c>
      <c r="I83" s="113">
        <f t="shared" ca="1" si="7"/>
        <v>7.2285111668149753</v>
      </c>
      <c r="J83" s="112" cm="1">
        <f t="array" aca="1" ref="J83:K83" ca="1">TRANSPOSE((TRANSPOSE(H83:I83)+G83*MMULT(my_XT, my_t-MMULT(my_X, TRANSPOSE(H83:I83)))))</f>
        <v>6.7740218699916097</v>
      </c>
      <c r="K83" s="118">
        <f ca="1"/>
        <v>7.225108746308182</v>
      </c>
      <c r="L83" s="119" cm="1">
        <f t="array" aca="1" ref="L83" ca="1">SUM((my_t-MMULT(my_X, TRANSPOSE(_xlfn.ANCHORARRAY(J83))))^2)*(1/(2*COUNT($J$5:$J$14)))</f>
        <v>144.1051972048439</v>
      </c>
    </row>
    <row r="84" spans="5:12" x14ac:dyDescent="0.25">
      <c r="E84" s="8">
        <f t="shared" si="0"/>
        <v>40</v>
      </c>
      <c r="F84" s="123">
        <f t="shared" si="1"/>
        <v>5.0000000000000001E-3</v>
      </c>
      <c r="G84" s="119">
        <f>F84/COUNT($J$5:$J$14)</f>
        <v>5.0000000000000001E-4</v>
      </c>
      <c r="H84" s="112">
        <f t="shared" ca="1" si="6"/>
        <v>6.7740218699916097</v>
      </c>
      <c r="I84" s="113">
        <f t="shared" ca="1" si="7"/>
        <v>7.225108746308182</v>
      </c>
      <c r="J84" s="112" cm="1">
        <f t="array" aca="1" ref="J84:K84" ca="1">TRANSPOSE((TRANSPOSE(H84:I84)+G84*MMULT(my_XT, my_t-MMULT(my_X, TRANSPOSE(H84:I84)))))</f>
        <v>6.7986074960377749</v>
      </c>
      <c r="K84" s="118">
        <f ca="1"/>
        <v>7.2216800310184501</v>
      </c>
      <c r="L84" s="119" cm="1">
        <f t="array" aca="1" ref="L84" ca="1">SUM((my_t-MMULT(my_X, TRANSPOSE(_xlfn.ANCHORARRAY(J84))))^2)*(1/(2*COUNT($J$5:$J$14)))</f>
        <v>143.98200749902662</v>
      </c>
    </row>
    <row r="85" spans="5:12" x14ac:dyDescent="0.25">
      <c r="E85" s="8">
        <f t="shared" si="0"/>
        <v>41</v>
      </c>
      <c r="F85" s="104">
        <f t="shared" si="1"/>
        <v>5.0000000000000001E-3</v>
      </c>
      <c r="G85" s="105">
        <f>F85/COUNT($J$5:$J$14)</f>
        <v>5.0000000000000001E-4</v>
      </c>
      <c r="H85" s="114">
        <f t="shared" ca="1" si="6"/>
        <v>6.7986074960377749</v>
      </c>
      <c r="I85" s="115">
        <f t="shared" ca="1" si="7"/>
        <v>7.2216800310184501</v>
      </c>
      <c r="J85" s="114" cm="1">
        <f t="array" aca="1" ref="J85:K85" ca="1">TRANSPOSE((TRANSPOSE(H85:I85)+G85*MMULT(my_XT, my_t-MMULT(my_X, TRANSPOSE(H85:I85)))))</f>
        <v>6.823169095246242</v>
      </c>
      <c r="K85" s="120">
        <f ca="1"/>
        <v>7.218231022477803</v>
      </c>
      <c r="L85" s="105" cm="1">
        <f t="array" aca="1" ref="L85" ca="1">SUM((my_t-MMULT(my_X, TRANSPOSE(_xlfn.ANCHORARRAY(J85))))^2)*(1/(2*COUNT($J$5:$J$14)))</f>
        <v>143.85902586296965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9D9C81E838C74F985EEA30EC4BB229" ma:contentTypeVersion="14" ma:contentTypeDescription="Create a new document." ma:contentTypeScope="" ma:versionID="3f7c9110ac8d4f5faa764d2d356ec90a">
  <xsd:schema xmlns:xsd="http://www.w3.org/2001/XMLSchema" xmlns:xs="http://www.w3.org/2001/XMLSchema" xmlns:p="http://schemas.microsoft.com/office/2006/metadata/properties" xmlns:ns3="38ba4c33-77d7-48b1-9088-3ac9cbe3275a" xmlns:ns4="2fb9d49a-94b6-4702-8584-f5659814f446" targetNamespace="http://schemas.microsoft.com/office/2006/metadata/properties" ma:root="true" ma:fieldsID="afa2b6562a636135f044fd66acdfa070" ns3:_="" ns4:_="">
    <xsd:import namespace="38ba4c33-77d7-48b1-9088-3ac9cbe3275a"/>
    <xsd:import namespace="2fb9d49a-94b6-4702-8584-f5659814f44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a4c33-77d7-48b1-9088-3ac9cbe327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b9d49a-94b6-4702-8584-f5659814f4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CF64CD-8886-4264-A74C-76FE54A8AB6E}">
  <ds:schemaRefs>
    <ds:schemaRef ds:uri="http://purl.org/dc/terms/"/>
    <ds:schemaRef ds:uri="http://schemas.microsoft.com/office/2006/documentManagement/types"/>
    <ds:schemaRef ds:uri="2fb9d49a-94b6-4702-8584-f5659814f446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8ba4c33-77d7-48b1-9088-3ac9cbe3275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5F22C36-60C1-4826-82F8-3F0DDEB112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3D8889-7AAA-414B-9593-E50C2FDEF3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ba4c33-77d7-48b1-9088-3ac9cbe3275a"/>
    <ds:schemaRef ds:uri="2fb9d49a-94b6-4702-8584-f5659814f4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25</vt:i4>
      </vt:variant>
    </vt:vector>
  </HeadingPairs>
  <TitlesOfParts>
    <vt:vector size="27" baseType="lpstr">
      <vt:lpstr>LR</vt:lpstr>
      <vt:lpstr>my attemp</vt:lpstr>
      <vt:lpstr>eta</vt:lpstr>
      <vt:lpstr>etaN</vt:lpstr>
      <vt:lpstr>my_LS</vt:lpstr>
      <vt:lpstr>my_t</vt:lpstr>
      <vt:lpstr>my_X</vt:lpstr>
      <vt:lpstr>my_XT</vt:lpstr>
      <vt:lpstr>my_XTt</vt:lpstr>
      <vt:lpstr>my_XTX</vt:lpstr>
      <vt:lpstr>N</vt:lpstr>
      <vt:lpstr>noise</vt:lpstr>
      <vt:lpstr>noise_a</vt:lpstr>
      <vt:lpstr>noise_m</vt:lpstr>
      <vt:lpstr>t</vt:lpstr>
      <vt:lpstr>w</vt:lpstr>
      <vt:lpstr>w_d0</vt:lpstr>
      <vt:lpstr>w_d1</vt:lpstr>
      <vt:lpstr>w_GD</vt:lpstr>
      <vt:lpstr>X</vt:lpstr>
      <vt:lpstr>x0</vt:lpstr>
      <vt:lpstr>XT</vt:lpstr>
      <vt:lpstr>XTt</vt:lpstr>
      <vt:lpstr>XTX</vt:lpstr>
      <vt:lpstr>XTX1</vt:lpstr>
      <vt:lpstr>y_GD</vt:lpstr>
      <vt:lpstr>y_ls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Altahhan</dc:creator>
  <cp:lastModifiedBy>Wesley Chiu</cp:lastModifiedBy>
  <dcterms:created xsi:type="dcterms:W3CDTF">2021-06-01T07:43:58Z</dcterms:created>
  <dcterms:modified xsi:type="dcterms:W3CDTF">2022-11-25T14:47:14Z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0x010100749D9C81E838C74F985EEA30EC4BB229</vt:lpwstr>
  </property>
</Properties>
</file>